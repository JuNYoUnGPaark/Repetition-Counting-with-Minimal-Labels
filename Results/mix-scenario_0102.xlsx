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620" documentId="8_{1CF19310-CC7B-4883-B5C4-54D9DB76A0DD}" xr6:coauthVersionLast="47" xr6:coauthVersionMax="47" xr10:uidLastSave="{55311544-3947-4C74-BADE-B591F8736BE8}"/>
  <bookViews>
    <workbookView xWindow="18075" yWindow="2115" windowWidth="20310" windowHeight="16260" xr2:uid="{18B8D2C5-483B-4AE0-8C19-1A9DBD29D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3" i="1" l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W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W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O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O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O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O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O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O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O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O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G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G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G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G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G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G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U43" i="1" l="1"/>
  <c r="T43" i="1"/>
  <c r="V43" i="1"/>
  <c r="U29" i="1"/>
  <c r="T29" i="1"/>
  <c r="V29" i="1"/>
  <c r="U15" i="1"/>
  <c r="T15" i="1"/>
  <c r="V15" i="1"/>
  <c r="M99" i="1"/>
  <c r="N99" i="1"/>
  <c r="L99" i="1"/>
  <c r="M113" i="1"/>
  <c r="N113" i="1"/>
  <c r="L113" i="1"/>
  <c r="L85" i="1"/>
  <c r="N85" i="1"/>
  <c r="M85" i="1"/>
  <c r="M71" i="1"/>
  <c r="L71" i="1"/>
  <c r="N71" i="1"/>
  <c r="N29" i="1"/>
  <c r="L29" i="1"/>
  <c r="M29" i="1"/>
  <c r="M15" i="1"/>
  <c r="L15" i="1"/>
  <c r="N15" i="1"/>
  <c r="N43" i="1"/>
  <c r="M43" i="1"/>
  <c r="L43" i="1"/>
  <c r="L57" i="1"/>
  <c r="M57" i="1"/>
  <c r="N57" i="1"/>
  <c r="D85" i="1"/>
  <c r="E85" i="1"/>
  <c r="F85" i="1"/>
  <c r="D29" i="1"/>
  <c r="E29" i="1"/>
  <c r="F29" i="1"/>
  <c r="E99" i="1"/>
  <c r="E113" i="1"/>
  <c r="F99" i="1"/>
  <c r="D99" i="1"/>
  <c r="F113" i="1"/>
  <c r="D113" i="1"/>
  <c r="F57" i="1"/>
  <c r="E57" i="1"/>
  <c r="D57" i="1"/>
  <c r="E43" i="1"/>
  <c r="D43" i="1"/>
  <c r="F43" i="1"/>
  <c r="G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G15" i="1"/>
  <c r="F6" i="1"/>
  <c r="F7" i="1"/>
  <c r="F8" i="1"/>
  <c r="F9" i="1"/>
  <c r="F10" i="1"/>
  <c r="F11" i="1"/>
  <c r="F12" i="1"/>
  <c r="F13" i="1"/>
  <c r="F14" i="1"/>
  <c r="F5" i="1"/>
  <c r="E6" i="1"/>
  <c r="E7" i="1"/>
  <c r="E8" i="1"/>
  <c r="E9" i="1"/>
  <c r="E10" i="1"/>
  <c r="E11" i="1"/>
  <c r="E12" i="1"/>
  <c r="E13" i="1"/>
  <c r="E14" i="1"/>
  <c r="E5" i="1"/>
  <c r="D6" i="1"/>
  <c r="D7" i="1"/>
  <c r="D8" i="1"/>
  <c r="D9" i="1"/>
  <c r="D10" i="1"/>
  <c r="D11" i="1"/>
  <c r="D12" i="1"/>
  <c r="D13" i="1"/>
  <c r="D14" i="1"/>
  <c r="D5" i="1"/>
  <c r="E15" i="1" l="1"/>
  <c r="E71" i="1"/>
  <c r="D71" i="1"/>
  <c r="F71" i="1"/>
  <c r="D15" i="1"/>
  <c r="F15" i="1"/>
</calcChain>
</file>

<file path=xl/sharedStrings.xml><?xml version="1.0" encoding="utf-8"?>
<sst xmlns="http://schemas.openxmlformats.org/spreadsheetml/2006/main" count="155" uniqueCount="28">
  <si>
    <t>Subject_ID</t>
    <phoneticPr fontId="2" type="noConversion"/>
  </si>
  <si>
    <t>Pred</t>
    <phoneticPr fontId="2" type="noConversion"/>
  </si>
  <si>
    <t>GT</t>
    <phoneticPr fontId="2" type="noConversion"/>
  </si>
  <si>
    <t>MAE</t>
    <phoneticPr fontId="2" type="noConversion"/>
  </si>
  <si>
    <t>MAPE(%)</t>
    <phoneticPr fontId="2" type="noConversion"/>
  </si>
  <si>
    <t>Bias</t>
    <phoneticPr fontId="2" type="noConversion"/>
  </si>
  <si>
    <t>k_hat</t>
    <phoneticPr fontId="2" type="noConversion"/>
  </si>
  <si>
    <t>Knees bending + Frontal elevation of arms</t>
    <phoneticPr fontId="2" type="noConversion"/>
  </si>
  <si>
    <t>Waist bends forward + Jump front &amp; back</t>
    <phoneticPr fontId="2" type="noConversion"/>
  </si>
  <si>
    <t>Jogging + Running</t>
    <phoneticPr fontId="2" type="noConversion"/>
  </si>
  <si>
    <t>Running + Jogging</t>
    <phoneticPr fontId="2" type="noConversion"/>
  </si>
  <si>
    <t>Jogging + Jump front and back</t>
    <phoneticPr fontId="2" type="noConversion"/>
  </si>
  <si>
    <t>Jump front and back + Jogging</t>
    <phoneticPr fontId="2" type="noConversion"/>
  </si>
  <si>
    <t>Frontal elevation of arms + Knees bending</t>
    <phoneticPr fontId="2" type="noConversion"/>
  </si>
  <si>
    <t>Jump front &amp; back + Waist bends forward</t>
    <phoneticPr fontId="2" type="noConversion"/>
  </si>
  <si>
    <t>A-B scenario</t>
    <phoneticPr fontId="2" type="noConversion"/>
  </si>
  <si>
    <t>A-B-A-B scenario</t>
    <phoneticPr fontId="2" type="noConversion"/>
  </si>
  <si>
    <t>Running + Jogging + Running + Jogging</t>
    <phoneticPr fontId="2" type="noConversion"/>
  </si>
  <si>
    <t>Jogging + Running + Jogging + Running</t>
    <phoneticPr fontId="2" type="noConversion"/>
  </si>
  <si>
    <t>Knees bending + Frontal elevation of arms + Knees bending + Frontal ele.</t>
    <phoneticPr fontId="2" type="noConversion"/>
  </si>
  <si>
    <t>Frontal elevation of arms + Knees bending + Frontal ele. + Knees bending</t>
    <phoneticPr fontId="2" type="noConversion"/>
  </si>
  <si>
    <t>Waist bends forward + Jump front and back + Waist bends forward + Jump front and back</t>
    <phoneticPr fontId="2" type="noConversion"/>
  </si>
  <si>
    <t>Jump front and back + Waist bends forward + Jump front and back + Waist bends forward</t>
    <phoneticPr fontId="2" type="noConversion"/>
  </si>
  <si>
    <t>Jogging + Jump front and back + Jogging + Jump front and back</t>
    <phoneticPr fontId="2" type="noConversion"/>
  </si>
  <si>
    <t>Jump front and back + Jogging + Jump front and back + Jogging</t>
    <phoneticPr fontId="2" type="noConversion"/>
  </si>
  <si>
    <t>Knees bending + Running</t>
    <phoneticPr fontId="2" type="noConversion"/>
  </si>
  <si>
    <t>Frontal elevation of arms + Waist bends forward</t>
    <phoneticPr fontId="2" type="noConversion"/>
  </si>
  <si>
    <t>A(80%)-B(20%) scenario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</si>
</sst>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sz val="11"/>
      <color theme="1"/>
      <name val="Noto Sans KR"/>
      <family val="3"/>
      <charset val="129"/>
    </font>
    <font>
      <b/>
      <sz val="16"/>
      <color theme="1"/>
      <name val="Noto Serif KR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7C80"/>
      <color rgb="FFF17F7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DC0E-7D2A-4844-8D29-B489AD8175B7}">
  <dimension ref="A1:W113"/>
  <sheetViews>
    <sheetView tabSelected="1" topLeftCell="M6" zoomScaleNormal="100" workbookViewId="0">
      <selection activeCell="T20" sqref="T20"/>
    </sheetView>
  </sheetViews>
  <sheetFormatPr defaultRowHeight="16.5" x14ac:dyDescent="0.3"/>
  <cols>
    <col min="1" max="3" width="12.375" customWidth="1"/>
    <col min="4" max="6" width="17.625" customWidth="1"/>
    <col min="7" max="7" width="12.375" customWidth="1"/>
    <col min="9" max="11" width="12.375" customWidth="1"/>
    <col min="12" max="14" width="17.75" customWidth="1"/>
    <col min="15" max="15" width="12.375" customWidth="1"/>
    <col min="17" max="19" width="12.375" customWidth="1"/>
    <col min="20" max="22" width="17.75" customWidth="1"/>
    <col min="23" max="23" width="12.375" customWidth="1"/>
  </cols>
  <sheetData>
    <row r="1" spans="1:23" ht="26.25" thickBot="1" x14ac:dyDescent="0.35">
      <c r="A1" s="13" t="s">
        <v>15</v>
      </c>
      <c r="B1" s="13"/>
      <c r="C1" s="13"/>
      <c r="D1" s="13"/>
      <c r="E1" s="13"/>
      <c r="F1" s="13"/>
      <c r="G1" s="13"/>
      <c r="I1" s="14" t="s">
        <v>16</v>
      </c>
      <c r="J1" s="14"/>
      <c r="K1" s="14"/>
      <c r="L1" s="14"/>
      <c r="M1" s="14"/>
      <c r="N1" s="14"/>
      <c r="O1" s="14"/>
      <c r="Q1" s="16" t="s">
        <v>27</v>
      </c>
      <c r="R1" s="16"/>
      <c r="S1" s="16"/>
      <c r="T1" s="16"/>
      <c r="U1" s="16"/>
      <c r="V1" s="16"/>
      <c r="W1" s="16"/>
    </row>
    <row r="3" spans="1:23" ht="18" x14ac:dyDescent="0.3">
      <c r="A3" s="12" t="s">
        <v>7</v>
      </c>
      <c r="B3" s="12"/>
      <c r="C3" s="12"/>
      <c r="D3" s="12"/>
      <c r="E3" s="12"/>
      <c r="F3" s="12"/>
      <c r="G3" s="12"/>
      <c r="I3" s="15" t="s">
        <v>19</v>
      </c>
      <c r="J3" s="15"/>
      <c r="K3" s="15"/>
      <c r="L3" s="15"/>
      <c r="M3" s="15"/>
      <c r="N3" s="15"/>
      <c r="O3" s="15"/>
      <c r="Q3" s="17" t="s">
        <v>9</v>
      </c>
      <c r="R3" s="17"/>
      <c r="S3" s="17"/>
      <c r="T3" s="17"/>
      <c r="U3" s="17"/>
      <c r="V3" s="17"/>
      <c r="W3" s="17"/>
    </row>
    <row r="4" spans="1:23" ht="18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I4" s="1" t="s">
        <v>0</v>
      </c>
      <c r="J4" s="1" t="s">
        <v>1</v>
      </c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Q4" s="1" t="s">
        <v>0</v>
      </c>
      <c r="R4" s="1" t="s">
        <v>1</v>
      </c>
      <c r="S4" s="1" t="s">
        <v>2</v>
      </c>
      <c r="T4" s="1" t="s">
        <v>3</v>
      </c>
      <c r="U4" s="1" t="s">
        <v>4</v>
      </c>
      <c r="V4" s="1" t="s">
        <v>5</v>
      </c>
      <c r="W4" s="1" t="s">
        <v>6</v>
      </c>
    </row>
    <row r="5" spans="1:23" ht="18" x14ac:dyDescent="0.3">
      <c r="A5" s="2">
        <v>1</v>
      </c>
      <c r="B5" s="2">
        <v>66.34</v>
      </c>
      <c r="C5" s="2">
        <v>40</v>
      </c>
      <c r="D5" s="3">
        <f t="shared" ref="D5:D14" si="0">ABS(B5-C5)</f>
        <v>26.340000000000003</v>
      </c>
      <c r="E5" s="4">
        <f t="shared" ref="E5:E14" si="1">ABS(B5-C5)/C5</f>
        <v>0.65850000000000009</v>
      </c>
      <c r="F5" s="5">
        <f t="shared" ref="F5:F14" si="2">B5-C5</f>
        <v>26.340000000000003</v>
      </c>
      <c r="G5" s="2">
        <v>1.02</v>
      </c>
      <c r="I5" s="2">
        <v>1</v>
      </c>
      <c r="J5" s="2">
        <v>132.62</v>
      </c>
      <c r="K5" s="2">
        <v>82</v>
      </c>
      <c r="L5" s="3">
        <f t="shared" ref="L5:L14" si="3">ABS(J5-K5)</f>
        <v>50.620000000000005</v>
      </c>
      <c r="M5" s="4">
        <f t="shared" ref="M5:M14" si="4">ABS(J5-K5)/K5</f>
        <v>0.61731707317073181</v>
      </c>
      <c r="N5" s="5">
        <f t="shared" ref="N5:N14" si="5">J5-K5</f>
        <v>50.620000000000005</v>
      </c>
      <c r="O5" s="2">
        <v>1.02</v>
      </c>
      <c r="Q5" s="2">
        <v>1</v>
      </c>
      <c r="R5" s="2">
        <v>772.09</v>
      </c>
      <c r="S5" s="2">
        <v>793</v>
      </c>
      <c r="T5" s="3">
        <f t="shared" ref="T5:T14" si="6">ABS(R5-S5)</f>
        <v>20.909999999999968</v>
      </c>
      <c r="U5" s="4">
        <f t="shared" ref="U5:U14" si="7">ABS(R5-S5)/S5</f>
        <v>2.6368221941992395E-2</v>
      </c>
      <c r="V5" s="5">
        <f t="shared" ref="V5:V14" si="8">R5-S5</f>
        <v>-20.909999999999968</v>
      </c>
      <c r="W5" s="2">
        <v>1.26</v>
      </c>
    </row>
    <row r="6" spans="1:23" ht="18" x14ac:dyDescent="0.3">
      <c r="A6" s="2">
        <v>2</v>
      </c>
      <c r="B6" s="2">
        <v>42.73</v>
      </c>
      <c r="C6" s="2">
        <v>41</v>
      </c>
      <c r="D6" s="3">
        <f t="shared" si="0"/>
        <v>1.7299999999999969</v>
      </c>
      <c r="E6" s="4">
        <f t="shared" si="1"/>
        <v>4.2195121951219439E-2</v>
      </c>
      <c r="F6" s="5">
        <f t="shared" si="2"/>
        <v>1.7299999999999969</v>
      </c>
      <c r="G6" s="2">
        <v>1.01</v>
      </c>
      <c r="I6" s="2">
        <v>2</v>
      </c>
      <c r="J6" s="2">
        <v>85.19</v>
      </c>
      <c r="K6" s="2">
        <v>82</v>
      </c>
      <c r="L6" s="3">
        <f t="shared" si="3"/>
        <v>3.1899999999999977</v>
      </c>
      <c r="M6" s="4">
        <f t="shared" si="4"/>
        <v>3.8902439024390216E-2</v>
      </c>
      <c r="N6" s="5">
        <f t="shared" si="5"/>
        <v>3.1899999999999977</v>
      </c>
      <c r="O6" s="2">
        <v>1.01</v>
      </c>
      <c r="Q6" s="2">
        <v>2</v>
      </c>
      <c r="R6" s="2">
        <v>838.69</v>
      </c>
      <c r="S6" s="2">
        <v>802</v>
      </c>
      <c r="T6" s="3">
        <f t="shared" si="6"/>
        <v>36.690000000000055</v>
      </c>
      <c r="U6" s="4">
        <f t="shared" si="7"/>
        <v>4.5748129675810545E-2</v>
      </c>
      <c r="V6" s="5">
        <f t="shared" si="8"/>
        <v>36.690000000000055</v>
      </c>
      <c r="W6" s="2">
        <v>1.73</v>
      </c>
    </row>
    <row r="7" spans="1:23" ht="18" x14ac:dyDescent="0.3">
      <c r="A7" s="2">
        <v>3</v>
      </c>
      <c r="B7" s="2">
        <v>30.07</v>
      </c>
      <c r="C7" s="2">
        <v>41</v>
      </c>
      <c r="D7" s="3">
        <f t="shared" si="0"/>
        <v>10.93</v>
      </c>
      <c r="E7" s="4">
        <f t="shared" si="1"/>
        <v>0.26658536585365855</v>
      </c>
      <c r="F7" s="5">
        <f t="shared" si="2"/>
        <v>-10.93</v>
      </c>
      <c r="G7" s="2">
        <v>1.01</v>
      </c>
      <c r="I7" s="2">
        <v>3</v>
      </c>
      <c r="J7" s="2">
        <v>60.19</v>
      </c>
      <c r="K7" s="2">
        <v>82</v>
      </c>
      <c r="L7" s="3">
        <f t="shared" si="3"/>
        <v>21.810000000000002</v>
      </c>
      <c r="M7" s="4">
        <f t="shared" si="4"/>
        <v>0.26597560975609758</v>
      </c>
      <c r="N7" s="5">
        <f t="shared" si="5"/>
        <v>-21.810000000000002</v>
      </c>
      <c r="O7" s="2">
        <v>1.01</v>
      </c>
      <c r="Q7" s="2">
        <v>3</v>
      </c>
      <c r="R7" s="2">
        <v>783.93</v>
      </c>
      <c r="S7" s="2">
        <v>790</v>
      </c>
      <c r="T7" s="3">
        <f t="shared" si="6"/>
        <v>6.07000000000005</v>
      </c>
      <c r="U7" s="4">
        <f t="shared" si="7"/>
        <v>7.6835443037975319E-3</v>
      </c>
      <c r="V7" s="5">
        <f t="shared" si="8"/>
        <v>-6.07000000000005</v>
      </c>
      <c r="W7" s="2">
        <v>1.45</v>
      </c>
    </row>
    <row r="8" spans="1:23" ht="18" x14ac:dyDescent="0.3">
      <c r="A8" s="2">
        <v>4</v>
      </c>
      <c r="B8" s="2">
        <v>48.13</v>
      </c>
      <c r="C8" s="2">
        <v>39</v>
      </c>
      <c r="D8" s="3">
        <f t="shared" si="0"/>
        <v>9.1300000000000026</v>
      </c>
      <c r="E8" s="4">
        <f t="shared" si="1"/>
        <v>0.23410256410256416</v>
      </c>
      <c r="F8" s="5">
        <f t="shared" si="2"/>
        <v>9.1300000000000026</v>
      </c>
      <c r="G8" s="6">
        <v>1.6</v>
      </c>
      <c r="I8" s="2">
        <v>4</v>
      </c>
      <c r="J8" s="2">
        <v>96.29</v>
      </c>
      <c r="K8" s="2">
        <v>78</v>
      </c>
      <c r="L8" s="3">
        <f t="shared" si="3"/>
        <v>18.290000000000006</v>
      </c>
      <c r="M8" s="4">
        <f t="shared" si="4"/>
        <v>0.23448717948717956</v>
      </c>
      <c r="N8" s="5">
        <f t="shared" si="5"/>
        <v>18.290000000000006</v>
      </c>
      <c r="O8" s="6">
        <v>1.06</v>
      </c>
      <c r="Q8" s="2">
        <v>4</v>
      </c>
      <c r="R8" s="2">
        <v>876.64</v>
      </c>
      <c r="S8" s="2">
        <v>779</v>
      </c>
      <c r="T8" s="3">
        <f t="shared" si="6"/>
        <v>97.639999999999986</v>
      </c>
      <c r="U8" s="4">
        <f t="shared" si="7"/>
        <v>0.12534017971758663</v>
      </c>
      <c r="V8" s="5">
        <f t="shared" si="8"/>
        <v>97.639999999999986</v>
      </c>
      <c r="W8" s="6">
        <v>1.37</v>
      </c>
    </row>
    <row r="9" spans="1:23" ht="18" x14ac:dyDescent="0.3">
      <c r="A9" s="2">
        <v>5</v>
      </c>
      <c r="B9" s="2">
        <v>31.99</v>
      </c>
      <c r="C9" s="2">
        <v>40</v>
      </c>
      <c r="D9" s="3">
        <f t="shared" si="0"/>
        <v>8.0100000000000016</v>
      </c>
      <c r="E9" s="4">
        <f t="shared" si="1"/>
        <v>0.20025000000000004</v>
      </c>
      <c r="F9" s="5">
        <f t="shared" si="2"/>
        <v>-8.0100000000000016</v>
      </c>
      <c r="G9" s="2">
        <v>1.02</v>
      </c>
      <c r="I9" s="2">
        <v>5</v>
      </c>
      <c r="J9" s="2">
        <v>64.38</v>
      </c>
      <c r="K9" s="2">
        <v>80</v>
      </c>
      <c r="L9" s="3">
        <f t="shared" si="3"/>
        <v>15.620000000000005</v>
      </c>
      <c r="M9" s="4">
        <f t="shared" si="4"/>
        <v>0.19525000000000006</v>
      </c>
      <c r="N9" s="5">
        <f t="shared" si="5"/>
        <v>-15.620000000000005</v>
      </c>
      <c r="O9" s="2">
        <v>1.02</v>
      </c>
      <c r="Q9" s="2">
        <v>5</v>
      </c>
      <c r="R9" s="2">
        <v>851.05</v>
      </c>
      <c r="S9" s="2">
        <v>797</v>
      </c>
      <c r="T9" s="3">
        <f t="shared" si="6"/>
        <v>54.049999999999955</v>
      </c>
      <c r="U9" s="4">
        <f t="shared" si="7"/>
        <v>6.7816813048933444E-2</v>
      </c>
      <c r="V9" s="5">
        <f t="shared" si="8"/>
        <v>54.049999999999955</v>
      </c>
      <c r="W9" s="2">
        <v>1.48</v>
      </c>
    </row>
    <row r="10" spans="1:23" ht="18" x14ac:dyDescent="0.3">
      <c r="A10" s="2">
        <v>6</v>
      </c>
      <c r="B10" s="2">
        <v>25.42</v>
      </c>
      <c r="C10" s="2">
        <v>40</v>
      </c>
      <c r="D10" s="3">
        <f t="shared" si="0"/>
        <v>14.579999999999998</v>
      </c>
      <c r="E10" s="4">
        <f t="shared" si="1"/>
        <v>0.36449999999999994</v>
      </c>
      <c r="F10" s="5">
        <f t="shared" si="2"/>
        <v>-14.579999999999998</v>
      </c>
      <c r="G10" s="2">
        <v>1.01</v>
      </c>
      <c r="I10" s="2">
        <v>6</v>
      </c>
      <c r="J10" s="2">
        <v>50.89</v>
      </c>
      <c r="K10" s="2">
        <v>80</v>
      </c>
      <c r="L10" s="3">
        <f t="shared" si="3"/>
        <v>29.11</v>
      </c>
      <c r="M10" s="4">
        <f t="shared" si="4"/>
        <v>0.363875</v>
      </c>
      <c r="N10" s="5">
        <f t="shared" si="5"/>
        <v>-29.11</v>
      </c>
      <c r="O10" s="6">
        <v>1.01</v>
      </c>
      <c r="Q10" s="2">
        <v>6</v>
      </c>
      <c r="R10" s="2">
        <v>891.01</v>
      </c>
      <c r="S10" s="2">
        <v>796</v>
      </c>
      <c r="T10" s="3">
        <f t="shared" si="6"/>
        <v>95.009999999999991</v>
      </c>
      <c r="U10" s="4">
        <f t="shared" si="7"/>
        <v>0.11935929648241204</v>
      </c>
      <c r="V10" s="5">
        <f t="shared" si="8"/>
        <v>95.009999999999991</v>
      </c>
      <c r="W10" s="6">
        <v>1.53</v>
      </c>
    </row>
    <row r="11" spans="1:23" ht="18" x14ac:dyDescent="0.3">
      <c r="A11" s="2">
        <v>7</v>
      </c>
      <c r="B11" s="2">
        <v>36.119999999999997</v>
      </c>
      <c r="C11" s="2">
        <v>41</v>
      </c>
      <c r="D11" s="3">
        <f t="shared" si="0"/>
        <v>4.8800000000000026</v>
      </c>
      <c r="E11" s="4">
        <f t="shared" si="1"/>
        <v>0.1190243902439025</v>
      </c>
      <c r="F11" s="5">
        <f t="shared" si="2"/>
        <v>-4.8800000000000026</v>
      </c>
      <c r="G11" s="6">
        <v>1</v>
      </c>
      <c r="I11" s="2">
        <v>7</v>
      </c>
      <c r="J11" s="2">
        <v>72.33</v>
      </c>
      <c r="K11" s="2">
        <v>82</v>
      </c>
      <c r="L11" s="3">
        <f t="shared" si="3"/>
        <v>9.6700000000000017</v>
      </c>
      <c r="M11" s="4">
        <f t="shared" si="4"/>
        <v>0.1179268292682927</v>
      </c>
      <c r="N11" s="5">
        <f t="shared" si="5"/>
        <v>-9.6700000000000017</v>
      </c>
      <c r="O11" s="6">
        <v>1</v>
      </c>
      <c r="Q11" s="2">
        <v>7</v>
      </c>
      <c r="R11" s="2">
        <v>805.26</v>
      </c>
      <c r="S11" s="2">
        <v>761</v>
      </c>
      <c r="T11" s="3">
        <f t="shared" si="6"/>
        <v>44.259999999999991</v>
      </c>
      <c r="U11" s="4">
        <f t="shared" si="7"/>
        <v>5.8160315374507214E-2</v>
      </c>
      <c r="V11" s="5">
        <f t="shared" si="8"/>
        <v>44.259999999999991</v>
      </c>
      <c r="W11" s="6">
        <v>1.58</v>
      </c>
    </row>
    <row r="12" spans="1:23" ht="18" x14ac:dyDescent="0.3">
      <c r="A12" s="2">
        <v>8</v>
      </c>
      <c r="B12" s="2">
        <v>35.729999999999997</v>
      </c>
      <c r="C12" s="2">
        <v>40</v>
      </c>
      <c r="D12" s="3">
        <f t="shared" si="0"/>
        <v>4.2700000000000031</v>
      </c>
      <c r="E12" s="4">
        <f t="shared" si="1"/>
        <v>0.10675000000000008</v>
      </c>
      <c r="F12" s="5">
        <f t="shared" si="2"/>
        <v>-4.2700000000000031</v>
      </c>
      <c r="G12" s="2">
        <v>1.01</v>
      </c>
      <c r="I12" s="2">
        <v>8</v>
      </c>
      <c r="J12" s="2">
        <v>72.16</v>
      </c>
      <c r="K12" s="2">
        <v>80</v>
      </c>
      <c r="L12" s="3">
        <f t="shared" si="3"/>
        <v>7.8400000000000034</v>
      </c>
      <c r="M12" s="4">
        <f t="shared" si="4"/>
        <v>9.8000000000000045E-2</v>
      </c>
      <c r="N12" s="5">
        <f t="shared" si="5"/>
        <v>-7.8400000000000034</v>
      </c>
      <c r="O12" s="2">
        <v>1.01</v>
      </c>
      <c r="Q12" s="2">
        <v>8</v>
      </c>
      <c r="R12" s="2">
        <v>718.91</v>
      </c>
      <c r="S12" s="2">
        <v>806</v>
      </c>
      <c r="T12" s="3">
        <f t="shared" si="6"/>
        <v>87.090000000000032</v>
      </c>
      <c r="U12" s="4">
        <f t="shared" si="7"/>
        <v>0.10805210918114148</v>
      </c>
      <c r="V12" s="5">
        <f t="shared" si="8"/>
        <v>-87.090000000000032</v>
      </c>
      <c r="W12" s="2">
        <v>1.53</v>
      </c>
    </row>
    <row r="13" spans="1:23" ht="18" x14ac:dyDescent="0.3">
      <c r="A13" s="2">
        <v>9</v>
      </c>
      <c r="B13" s="2">
        <v>36.83</v>
      </c>
      <c r="C13" s="2">
        <v>40</v>
      </c>
      <c r="D13" s="3">
        <f t="shared" si="0"/>
        <v>3.1700000000000017</v>
      </c>
      <c r="E13" s="4">
        <f t="shared" si="1"/>
        <v>7.9250000000000043E-2</v>
      </c>
      <c r="F13" s="5">
        <f t="shared" si="2"/>
        <v>-3.1700000000000017</v>
      </c>
      <c r="G13" s="2">
        <v>1.01</v>
      </c>
      <c r="I13" s="2">
        <v>9</v>
      </c>
      <c r="J13" s="2">
        <v>73.58</v>
      </c>
      <c r="K13" s="2">
        <v>80</v>
      </c>
      <c r="L13" s="3">
        <f t="shared" si="3"/>
        <v>6.4200000000000017</v>
      </c>
      <c r="M13" s="4">
        <f t="shared" si="4"/>
        <v>8.0250000000000016E-2</v>
      </c>
      <c r="N13" s="5">
        <f t="shared" si="5"/>
        <v>-6.4200000000000017</v>
      </c>
      <c r="O13" s="2">
        <v>1.01</v>
      </c>
      <c r="Q13" s="2">
        <v>9</v>
      </c>
      <c r="R13" s="2">
        <v>912.5</v>
      </c>
      <c r="S13" s="2">
        <v>838</v>
      </c>
      <c r="T13" s="3">
        <f t="shared" si="6"/>
        <v>74.5</v>
      </c>
      <c r="U13" s="4">
        <f t="shared" si="7"/>
        <v>8.8902147971360382E-2</v>
      </c>
      <c r="V13" s="5">
        <f t="shared" si="8"/>
        <v>74.5</v>
      </c>
      <c r="W13" s="2">
        <v>1.64</v>
      </c>
    </row>
    <row r="14" spans="1:23" ht="18" x14ac:dyDescent="0.3">
      <c r="A14" s="2">
        <v>10</v>
      </c>
      <c r="B14" s="6">
        <v>32.909999999999997</v>
      </c>
      <c r="C14" s="2">
        <v>41</v>
      </c>
      <c r="D14" s="3">
        <f t="shared" si="0"/>
        <v>8.0900000000000034</v>
      </c>
      <c r="E14" s="4">
        <f t="shared" si="1"/>
        <v>0.1973170731707318</v>
      </c>
      <c r="F14" s="5">
        <f t="shared" si="2"/>
        <v>-8.0900000000000034</v>
      </c>
      <c r="G14" s="2">
        <v>1.01</v>
      </c>
      <c r="I14" s="2">
        <v>10</v>
      </c>
      <c r="J14" s="6">
        <v>65.739999999999995</v>
      </c>
      <c r="K14" s="2">
        <v>82</v>
      </c>
      <c r="L14" s="3">
        <f t="shared" si="3"/>
        <v>16.260000000000005</v>
      </c>
      <c r="M14" s="4">
        <f t="shared" si="4"/>
        <v>0.19829268292682933</v>
      </c>
      <c r="N14" s="5">
        <f t="shared" si="5"/>
        <v>-16.260000000000005</v>
      </c>
      <c r="O14" s="2">
        <v>1.01</v>
      </c>
      <c r="Q14" s="2">
        <v>10</v>
      </c>
      <c r="R14" s="6">
        <v>930.85</v>
      </c>
      <c r="S14" s="2">
        <v>769</v>
      </c>
      <c r="T14" s="3">
        <f t="shared" si="6"/>
        <v>161.85000000000002</v>
      </c>
      <c r="U14" s="4">
        <f t="shared" si="7"/>
        <v>0.21046814044213266</v>
      </c>
      <c r="V14" s="5">
        <f t="shared" si="8"/>
        <v>161.85000000000002</v>
      </c>
      <c r="W14" s="2">
        <v>1.46</v>
      </c>
    </row>
    <row r="15" spans="1:23" ht="18" x14ac:dyDescent="0.3">
      <c r="A15" s="7"/>
      <c r="B15" s="7"/>
      <c r="C15" s="7"/>
      <c r="D15" s="8" t="str">
        <f>ROUND(AVERAGE(D5:D14),3)&amp; "±" &amp;ROUND(_xlfn.STDEV.S(D5:D14),2)</f>
        <v>9.113±7.18</v>
      </c>
      <c r="E15" s="9" t="str">
        <f>TEXT(AVERAGE(E5:E14),"0.00%") &amp; "±" &amp; TEXT(_xlfn.STDEV.S(E5:E14),"0.00%")</f>
        <v>22.68%±17.96%</v>
      </c>
      <c r="F15" s="8" t="str">
        <f>ROUND(AVERAGE(F5:F14),3)&amp; "±" &amp;ROUND(_xlfn.STDEV.S(F5:F14),2)</f>
        <v>-1.673±11.86</v>
      </c>
      <c r="G15" s="8">
        <f>AVERAGE(G5:G14)</f>
        <v>1.0699999999999998</v>
      </c>
      <c r="I15" s="7"/>
      <c r="J15" s="7"/>
      <c r="K15" s="7"/>
      <c r="L15" s="8" t="str">
        <f>ROUND(AVERAGE(L5:L14),3)&amp; "±" &amp;ROUND(_xlfn.STDEV.S(L5:L14),2)</f>
        <v>17.883±13.89</v>
      </c>
      <c r="M15" s="9" t="str">
        <f>TEXT(AVERAGE(M5:M14),"0.00%") &amp; "±" &amp; TEXT(_xlfn.STDEV.S(M5:M14),"0.00%")</f>
        <v>22.10%±16.98%</v>
      </c>
      <c r="N15" s="8" t="str">
        <f>ROUND(AVERAGE(N5:N14),3)&amp; "±" &amp;ROUND(_xlfn.STDEV.S(N5:N14),2)</f>
        <v>-3.463±23.13</v>
      </c>
      <c r="O15" s="8">
        <f>AVERAGE(O5:O14)</f>
        <v>1.0159999999999998</v>
      </c>
      <c r="Q15" s="7"/>
      <c r="R15" s="7"/>
      <c r="S15" s="7"/>
      <c r="T15" s="8" t="str">
        <f>ROUND(AVERAGE(T5:T14),3)&amp; "±" &amp;ROUND(_xlfn.STDEV.S(T5:T14),2)</f>
        <v>67.807±45.48</v>
      </c>
      <c r="U15" s="9" t="str">
        <f>TEXT(AVERAGE(U5:U14),"0.00%") &amp; "±" &amp; TEXT(_xlfn.STDEV.S(U5:U14),"0.00%")</f>
        <v>8.58%±5.87%</v>
      </c>
      <c r="V15" s="8" t="str">
        <f>ROUND(AVERAGE(V5:V14),3)&amp; "±" &amp;ROUND(_xlfn.STDEV.S(V5:V14),2)</f>
        <v>44.993±70.2</v>
      </c>
      <c r="W15" s="8">
        <f>AVERAGE(W5:W14)</f>
        <v>1.5030000000000001</v>
      </c>
    </row>
    <row r="16" spans="1:23" ht="18" x14ac:dyDescent="0.3">
      <c r="A16" s="7"/>
      <c r="B16" s="7"/>
      <c r="C16" s="7"/>
      <c r="D16" s="10"/>
      <c r="E16" s="11"/>
      <c r="F16" s="10"/>
      <c r="G16" s="10"/>
    </row>
    <row r="17" spans="1:23" ht="18" x14ac:dyDescent="0.3">
      <c r="A17" s="12" t="s">
        <v>13</v>
      </c>
      <c r="B17" s="12"/>
      <c r="C17" s="12"/>
      <c r="D17" s="12"/>
      <c r="E17" s="12"/>
      <c r="F17" s="12"/>
      <c r="G17" s="12"/>
      <c r="I17" s="15" t="s">
        <v>20</v>
      </c>
      <c r="J17" s="15"/>
      <c r="K17" s="15"/>
      <c r="L17" s="15"/>
      <c r="M17" s="15"/>
      <c r="N17" s="15"/>
      <c r="O17" s="15"/>
      <c r="Q17" s="17" t="s">
        <v>25</v>
      </c>
      <c r="R17" s="17"/>
      <c r="S17" s="17"/>
      <c r="T17" s="17"/>
      <c r="U17" s="17"/>
      <c r="V17" s="17"/>
      <c r="W17" s="17"/>
    </row>
    <row r="18" spans="1:23" ht="18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I18" s="1" t="s">
        <v>0</v>
      </c>
      <c r="J18" s="1" t="s">
        <v>1</v>
      </c>
      <c r="K18" s="1" t="s">
        <v>2</v>
      </c>
      <c r="L18" s="1" t="s">
        <v>3</v>
      </c>
      <c r="M18" s="1" t="s">
        <v>4</v>
      </c>
      <c r="N18" s="1" t="s">
        <v>5</v>
      </c>
      <c r="O18" s="1" t="s">
        <v>6</v>
      </c>
      <c r="Q18" s="1" t="s">
        <v>0</v>
      </c>
      <c r="R18" s="1" t="s">
        <v>1</v>
      </c>
      <c r="S18" s="1" t="s">
        <v>2</v>
      </c>
      <c r="T18" s="1" t="s">
        <v>3</v>
      </c>
      <c r="U18" s="1" t="s">
        <v>4</v>
      </c>
      <c r="V18" s="1" t="s">
        <v>5</v>
      </c>
      <c r="W18" s="1" t="s">
        <v>6</v>
      </c>
    </row>
    <row r="19" spans="1:23" ht="18" x14ac:dyDescent="0.3">
      <c r="A19" s="2">
        <v>1</v>
      </c>
      <c r="B19" s="2">
        <v>50.86</v>
      </c>
      <c r="C19" s="2">
        <v>40</v>
      </c>
      <c r="D19" s="3">
        <f t="shared" ref="D19:D28" si="9">ABS(B19-C19)</f>
        <v>10.86</v>
      </c>
      <c r="E19" s="4">
        <f t="shared" ref="E19:E28" si="10">ABS(B19-C19)/C19</f>
        <v>0.27149999999999996</v>
      </c>
      <c r="F19" s="5">
        <f t="shared" ref="F19:F28" si="11">B19-C19</f>
        <v>10.86</v>
      </c>
      <c r="G19" s="2">
        <v>1.04</v>
      </c>
      <c r="I19" s="2">
        <v>1</v>
      </c>
      <c r="J19" s="2">
        <v>101.02</v>
      </c>
      <c r="K19" s="2">
        <v>82</v>
      </c>
      <c r="L19" s="3">
        <f t="shared" ref="L19:L28" si="12">ABS(J19-K19)</f>
        <v>19.019999999999996</v>
      </c>
      <c r="M19" s="4">
        <f t="shared" ref="M19:M28" si="13">ABS(J19-K19)/K19</f>
        <v>0.23195121951219508</v>
      </c>
      <c r="N19" s="5">
        <f t="shared" ref="N19:N28" si="14">J19-K19</f>
        <v>19.019999999999996</v>
      </c>
      <c r="O19" s="2">
        <v>1.04</v>
      </c>
      <c r="Q19" s="2">
        <v>1</v>
      </c>
      <c r="R19" s="2">
        <v>151.13999999999999</v>
      </c>
      <c r="S19" s="2">
        <v>245</v>
      </c>
      <c r="T19" s="3">
        <f t="shared" ref="T19:T28" si="15">ABS(R19-S19)</f>
        <v>93.860000000000014</v>
      </c>
      <c r="U19" s="4">
        <f t="shared" ref="U19:U28" si="16">ABS(R19-S19)/S19</f>
        <v>0.38310204081632659</v>
      </c>
      <c r="V19" s="5">
        <f t="shared" ref="V19:V28" si="17">R19-S19</f>
        <v>-93.860000000000014</v>
      </c>
      <c r="W19" s="2">
        <v>1.0900000000000001</v>
      </c>
    </row>
    <row r="20" spans="1:23" ht="18" x14ac:dyDescent="0.3">
      <c r="A20" s="2">
        <v>2</v>
      </c>
      <c r="B20" s="6">
        <v>53.7</v>
      </c>
      <c r="C20" s="2">
        <v>41</v>
      </c>
      <c r="D20" s="3">
        <f t="shared" si="9"/>
        <v>12.700000000000003</v>
      </c>
      <c r="E20" s="4">
        <f t="shared" si="10"/>
        <v>0.30975609756097566</v>
      </c>
      <c r="F20" s="5">
        <f t="shared" si="11"/>
        <v>12.700000000000003</v>
      </c>
      <c r="G20" s="2">
        <v>1.02</v>
      </c>
      <c r="I20" s="2">
        <v>2</v>
      </c>
      <c r="J20" s="2">
        <v>108.08</v>
      </c>
      <c r="K20" s="2">
        <v>82</v>
      </c>
      <c r="L20" s="3">
        <f t="shared" si="12"/>
        <v>26.08</v>
      </c>
      <c r="M20" s="4">
        <f t="shared" si="13"/>
        <v>0.31804878048780488</v>
      </c>
      <c r="N20" s="5">
        <f t="shared" si="14"/>
        <v>26.08</v>
      </c>
      <c r="O20" s="2">
        <v>1.02</v>
      </c>
      <c r="Q20" s="2">
        <v>2</v>
      </c>
      <c r="R20" s="2">
        <v>112</v>
      </c>
      <c r="S20" s="2">
        <v>242</v>
      </c>
      <c r="T20" s="3">
        <f t="shared" si="15"/>
        <v>130</v>
      </c>
      <c r="U20" s="4">
        <f t="shared" si="16"/>
        <v>0.53719008264462809</v>
      </c>
      <c r="V20" s="5">
        <f t="shared" si="17"/>
        <v>-130</v>
      </c>
      <c r="W20" s="2">
        <v>1.1200000000000001</v>
      </c>
    </row>
    <row r="21" spans="1:23" ht="18" x14ac:dyDescent="0.3">
      <c r="A21" s="2">
        <v>3</v>
      </c>
      <c r="B21" s="6">
        <v>65.2</v>
      </c>
      <c r="C21" s="2">
        <v>41</v>
      </c>
      <c r="D21" s="3">
        <f t="shared" si="9"/>
        <v>24.200000000000003</v>
      </c>
      <c r="E21" s="4">
        <f t="shared" si="10"/>
        <v>0.59024390243902447</v>
      </c>
      <c r="F21" s="5">
        <f t="shared" si="11"/>
        <v>24.200000000000003</v>
      </c>
      <c r="G21" s="2">
        <v>1.02</v>
      </c>
      <c r="I21" s="2">
        <v>3</v>
      </c>
      <c r="J21" s="2">
        <v>131.53</v>
      </c>
      <c r="K21" s="2">
        <v>82</v>
      </c>
      <c r="L21" s="3">
        <f t="shared" si="12"/>
        <v>49.53</v>
      </c>
      <c r="M21" s="4">
        <f t="shared" si="13"/>
        <v>0.60402439024390242</v>
      </c>
      <c r="N21" s="5">
        <f t="shared" si="14"/>
        <v>49.53</v>
      </c>
      <c r="O21" s="2">
        <v>1.02</v>
      </c>
      <c r="Q21" s="2">
        <v>3</v>
      </c>
      <c r="R21" s="2">
        <v>102.91</v>
      </c>
      <c r="S21" s="2">
        <v>258</v>
      </c>
      <c r="T21" s="3">
        <f t="shared" si="15"/>
        <v>155.09</v>
      </c>
      <c r="U21" s="4">
        <f t="shared" si="16"/>
        <v>0.60112403100775191</v>
      </c>
      <c r="V21" s="5">
        <f t="shared" si="17"/>
        <v>-155.09</v>
      </c>
      <c r="W21" s="2">
        <v>1.0900000000000001</v>
      </c>
    </row>
    <row r="22" spans="1:23" ht="18" x14ac:dyDescent="0.3">
      <c r="A22" s="2">
        <v>4</v>
      </c>
      <c r="B22" s="2">
        <v>66.349999999999994</v>
      </c>
      <c r="C22" s="2">
        <v>39</v>
      </c>
      <c r="D22" s="3">
        <f t="shared" si="9"/>
        <v>27.349999999999994</v>
      </c>
      <c r="E22" s="4">
        <f t="shared" si="10"/>
        <v>0.70128205128205112</v>
      </c>
      <c r="F22" s="5">
        <f t="shared" si="11"/>
        <v>27.349999999999994</v>
      </c>
      <c r="G22" s="6">
        <v>1.01</v>
      </c>
      <c r="I22" s="2">
        <v>4</v>
      </c>
      <c r="J22" s="2">
        <v>132.72999999999999</v>
      </c>
      <c r="K22" s="2">
        <v>78</v>
      </c>
      <c r="L22" s="3">
        <f t="shared" si="12"/>
        <v>54.72999999999999</v>
      </c>
      <c r="M22" s="4">
        <f t="shared" si="13"/>
        <v>0.70166666666666655</v>
      </c>
      <c r="N22" s="5">
        <f t="shared" si="14"/>
        <v>54.72999999999999</v>
      </c>
      <c r="O22" s="6">
        <v>1.01</v>
      </c>
      <c r="Q22" s="2">
        <v>4</v>
      </c>
      <c r="R22" s="2">
        <v>123.83</v>
      </c>
      <c r="S22" s="2">
        <v>239</v>
      </c>
      <c r="T22" s="3">
        <f t="shared" si="15"/>
        <v>115.17</v>
      </c>
      <c r="U22" s="4">
        <f t="shared" si="16"/>
        <v>0.4818828451882845</v>
      </c>
      <c r="V22" s="5">
        <f t="shared" si="17"/>
        <v>-115.17</v>
      </c>
      <c r="W22" s="6">
        <v>2.12</v>
      </c>
    </row>
    <row r="23" spans="1:23" ht="18" x14ac:dyDescent="0.3">
      <c r="A23" s="2">
        <v>5</v>
      </c>
      <c r="B23" s="2">
        <v>51.08</v>
      </c>
      <c r="C23" s="2">
        <v>40</v>
      </c>
      <c r="D23" s="3">
        <f t="shared" si="9"/>
        <v>11.079999999999998</v>
      </c>
      <c r="E23" s="4">
        <f t="shared" si="10"/>
        <v>0.27699999999999997</v>
      </c>
      <c r="F23" s="5">
        <f t="shared" si="11"/>
        <v>11.079999999999998</v>
      </c>
      <c r="G23" s="2">
        <v>1.02</v>
      </c>
      <c r="I23" s="2">
        <v>5</v>
      </c>
      <c r="J23" s="2">
        <v>103.07</v>
      </c>
      <c r="K23" s="2">
        <v>80</v>
      </c>
      <c r="L23" s="3">
        <f t="shared" si="12"/>
        <v>23.069999999999993</v>
      </c>
      <c r="M23" s="4">
        <f t="shared" si="13"/>
        <v>0.28837499999999994</v>
      </c>
      <c r="N23" s="5">
        <f t="shared" si="14"/>
        <v>23.069999999999993</v>
      </c>
      <c r="O23" s="2">
        <v>1.02</v>
      </c>
      <c r="Q23" s="2">
        <v>5</v>
      </c>
      <c r="R23" s="2">
        <v>105.55</v>
      </c>
      <c r="S23" s="2">
        <v>237</v>
      </c>
      <c r="T23" s="3">
        <f t="shared" si="15"/>
        <v>131.44999999999999</v>
      </c>
      <c r="U23" s="4">
        <f t="shared" si="16"/>
        <v>0.55464135021097039</v>
      </c>
      <c r="V23" s="5">
        <f t="shared" si="17"/>
        <v>-131.44999999999999</v>
      </c>
      <c r="W23" s="2">
        <v>1.06</v>
      </c>
    </row>
    <row r="24" spans="1:23" ht="18" x14ac:dyDescent="0.3">
      <c r="A24" s="2">
        <v>6</v>
      </c>
      <c r="B24" s="2">
        <v>40.29</v>
      </c>
      <c r="C24" s="2">
        <v>40</v>
      </c>
      <c r="D24" s="3">
        <f t="shared" si="9"/>
        <v>0.28999999999999915</v>
      </c>
      <c r="E24" s="4">
        <f t="shared" si="10"/>
        <v>7.2499999999999787E-3</v>
      </c>
      <c r="F24" s="5">
        <f t="shared" si="11"/>
        <v>0.28999999999999915</v>
      </c>
      <c r="G24" s="2">
        <v>1.03</v>
      </c>
      <c r="I24" s="2">
        <v>6</v>
      </c>
      <c r="J24" s="2">
        <v>80.47</v>
      </c>
      <c r="K24" s="2">
        <v>80</v>
      </c>
      <c r="L24" s="3">
        <f t="shared" si="12"/>
        <v>0.46999999999999886</v>
      </c>
      <c r="M24" s="4">
        <f t="shared" si="13"/>
        <v>5.8749999999999861E-3</v>
      </c>
      <c r="N24" s="5">
        <f t="shared" si="14"/>
        <v>0.46999999999999886</v>
      </c>
      <c r="O24" s="6">
        <v>1.03</v>
      </c>
      <c r="Q24" s="2">
        <v>6</v>
      </c>
      <c r="R24" s="2">
        <v>105.7</v>
      </c>
      <c r="S24" s="2">
        <v>252</v>
      </c>
      <c r="T24" s="3">
        <f t="shared" si="15"/>
        <v>146.30000000000001</v>
      </c>
      <c r="U24" s="4">
        <f t="shared" si="16"/>
        <v>0.5805555555555556</v>
      </c>
      <c r="V24" s="5">
        <f t="shared" si="17"/>
        <v>-146.30000000000001</v>
      </c>
      <c r="W24" s="6">
        <v>1.0900000000000001</v>
      </c>
    </row>
    <row r="25" spans="1:23" ht="18" x14ac:dyDescent="0.3">
      <c r="A25" s="2">
        <v>7</v>
      </c>
      <c r="B25" s="2">
        <v>41.66</v>
      </c>
      <c r="C25" s="2">
        <v>41</v>
      </c>
      <c r="D25" s="3">
        <f t="shared" si="9"/>
        <v>0.65999999999999659</v>
      </c>
      <c r="E25" s="4">
        <f t="shared" si="10"/>
        <v>1.6097560975609673E-2</v>
      </c>
      <c r="F25" s="5">
        <f t="shared" si="11"/>
        <v>0.65999999999999659</v>
      </c>
      <c r="G25" s="6">
        <v>1.06</v>
      </c>
      <c r="I25" s="2">
        <v>7</v>
      </c>
      <c r="J25" s="2">
        <v>83.99</v>
      </c>
      <c r="K25" s="2">
        <v>82</v>
      </c>
      <c r="L25" s="3">
        <f t="shared" si="12"/>
        <v>1.9899999999999949</v>
      </c>
      <c r="M25" s="4">
        <f t="shared" si="13"/>
        <v>2.4268292682926768E-2</v>
      </c>
      <c r="N25" s="5">
        <f t="shared" si="14"/>
        <v>1.9899999999999949</v>
      </c>
      <c r="O25" s="6">
        <v>1.06</v>
      </c>
      <c r="Q25" s="2">
        <v>7</v>
      </c>
      <c r="R25" s="2">
        <v>89.7</v>
      </c>
      <c r="S25" s="2">
        <v>233</v>
      </c>
      <c r="T25" s="3">
        <f t="shared" si="15"/>
        <v>143.30000000000001</v>
      </c>
      <c r="U25" s="4">
        <f t="shared" si="16"/>
        <v>0.61502145922746787</v>
      </c>
      <c r="V25" s="5">
        <f t="shared" si="17"/>
        <v>-143.30000000000001</v>
      </c>
      <c r="W25" s="6">
        <v>1.03</v>
      </c>
    </row>
    <row r="26" spans="1:23" ht="18" x14ac:dyDescent="0.3">
      <c r="A26" s="2">
        <v>8</v>
      </c>
      <c r="B26" s="2">
        <v>52.84</v>
      </c>
      <c r="C26" s="2">
        <v>40</v>
      </c>
      <c r="D26" s="3">
        <f t="shared" si="9"/>
        <v>12.840000000000003</v>
      </c>
      <c r="E26" s="4">
        <f t="shared" si="10"/>
        <v>0.32100000000000006</v>
      </c>
      <c r="F26" s="5">
        <f t="shared" si="11"/>
        <v>12.840000000000003</v>
      </c>
      <c r="G26" s="2">
        <v>1.02</v>
      </c>
      <c r="I26" s="2">
        <v>8</v>
      </c>
      <c r="J26" s="2">
        <v>107.49</v>
      </c>
      <c r="K26" s="2">
        <v>80</v>
      </c>
      <c r="L26" s="3">
        <f t="shared" si="12"/>
        <v>27.489999999999995</v>
      </c>
      <c r="M26" s="4">
        <f t="shared" si="13"/>
        <v>0.34362499999999996</v>
      </c>
      <c r="N26" s="5">
        <f t="shared" si="14"/>
        <v>27.489999999999995</v>
      </c>
      <c r="O26" s="2">
        <v>1.02</v>
      </c>
      <c r="Q26" s="2">
        <v>8</v>
      </c>
      <c r="R26" s="2">
        <v>92.11</v>
      </c>
      <c r="S26" s="2">
        <v>250</v>
      </c>
      <c r="T26" s="3">
        <f t="shared" si="15"/>
        <v>157.88999999999999</v>
      </c>
      <c r="U26" s="4">
        <f t="shared" si="16"/>
        <v>0.6315599999999999</v>
      </c>
      <c r="V26" s="5">
        <f t="shared" si="17"/>
        <v>-157.88999999999999</v>
      </c>
      <c r="W26" s="2">
        <v>1.0900000000000001</v>
      </c>
    </row>
    <row r="27" spans="1:23" ht="18" x14ac:dyDescent="0.3">
      <c r="A27" s="2">
        <v>9</v>
      </c>
      <c r="B27" s="2">
        <v>45.97</v>
      </c>
      <c r="C27" s="2">
        <v>40</v>
      </c>
      <c r="D27" s="3">
        <f t="shared" si="9"/>
        <v>5.9699999999999989</v>
      </c>
      <c r="E27" s="4">
        <f t="shared" si="10"/>
        <v>0.14924999999999997</v>
      </c>
      <c r="F27" s="5">
        <f t="shared" si="11"/>
        <v>5.9699999999999989</v>
      </c>
      <c r="G27" s="2">
        <v>1.03</v>
      </c>
      <c r="I27" s="2">
        <v>9</v>
      </c>
      <c r="J27" s="2">
        <v>92.01</v>
      </c>
      <c r="K27" s="2">
        <v>80</v>
      </c>
      <c r="L27" s="3">
        <f t="shared" si="12"/>
        <v>12.010000000000005</v>
      </c>
      <c r="M27" s="4">
        <f t="shared" si="13"/>
        <v>0.15012500000000006</v>
      </c>
      <c r="N27" s="5">
        <f t="shared" si="14"/>
        <v>12.010000000000005</v>
      </c>
      <c r="O27" s="2">
        <v>1.03</v>
      </c>
      <c r="Q27" s="2">
        <v>9</v>
      </c>
      <c r="R27" s="2">
        <v>109.87</v>
      </c>
      <c r="S27" s="2">
        <v>258</v>
      </c>
      <c r="T27" s="3">
        <f t="shared" si="15"/>
        <v>148.13</v>
      </c>
      <c r="U27" s="4">
        <f t="shared" si="16"/>
        <v>0.57414728682170546</v>
      </c>
      <c r="V27" s="5">
        <f t="shared" si="17"/>
        <v>-148.13</v>
      </c>
      <c r="W27" s="2">
        <v>1.05</v>
      </c>
    </row>
    <row r="28" spans="1:23" ht="18" x14ac:dyDescent="0.3">
      <c r="A28" s="2">
        <v>10</v>
      </c>
      <c r="B28" s="6">
        <v>37.549999999999997</v>
      </c>
      <c r="C28" s="2">
        <v>41</v>
      </c>
      <c r="D28" s="3">
        <f t="shared" si="9"/>
        <v>3.4500000000000028</v>
      </c>
      <c r="E28" s="4">
        <f t="shared" si="10"/>
        <v>8.4146341463414709E-2</v>
      </c>
      <c r="F28" s="5">
        <f t="shared" si="11"/>
        <v>-3.4500000000000028</v>
      </c>
      <c r="G28" s="2">
        <v>1.05</v>
      </c>
      <c r="I28" s="2">
        <v>10</v>
      </c>
      <c r="J28" s="6">
        <v>75.19</v>
      </c>
      <c r="K28" s="2">
        <v>82</v>
      </c>
      <c r="L28" s="3">
        <f t="shared" si="12"/>
        <v>6.8100000000000023</v>
      </c>
      <c r="M28" s="4">
        <f t="shared" si="13"/>
        <v>8.304878048780491E-2</v>
      </c>
      <c r="N28" s="5">
        <f t="shared" si="14"/>
        <v>-6.8100000000000023</v>
      </c>
      <c r="O28" s="2">
        <v>1.05</v>
      </c>
      <c r="Q28" s="2">
        <v>10</v>
      </c>
      <c r="R28" s="6">
        <v>104.26</v>
      </c>
      <c r="S28" s="2">
        <v>256</v>
      </c>
      <c r="T28" s="3">
        <f t="shared" si="15"/>
        <v>151.74</v>
      </c>
      <c r="U28" s="4">
        <f t="shared" si="16"/>
        <v>0.59273437500000004</v>
      </c>
      <c r="V28" s="5">
        <f t="shared" si="17"/>
        <v>-151.74</v>
      </c>
      <c r="W28" s="2">
        <v>1.06</v>
      </c>
    </row>
    <row r="29" spans="1:23" ht="18" x14ac:dyDescent="0.3">
      <c r="A29" s="7"/>
      <c r="B29" s="7"/>
      <c r="C29" s="7"/>
      <c r="D29" s="8" t="str">
        <f>ROUND(AVERAGE(D19:D28),3)&amp; "±" &amp;ROUND(_xlfn.STDEV.S(D19:D28),2)</f>
        <v>10.94±9.14</v>
      </c>
      <c r="E29" s="9" t="str">
        <f>TEXT(AVERAGE(E19:E28),"0.00%") &amp; "±" &amp; TEXT(_xlfn.STDEV.S(E19:E28),"0.00%")</f>
        <v>27.28%±22.98%</v>
      </c>
      <c r="F29" s="8" t="str">
        <f>ROUND(AVERAGE(F19:F28),3)&amp; "±" &amp;ROUND(_xlfn.STDEV.S(F19:F28),2)</f>
        <v>10.25±9.99</v>
      </c>
      <c r="G29" s="8">
        <f>AVERAGE(G19:G28)</f>
        <v>1.0299999999999998</v>
      </c>
      <c r="I29" s="7"/>
      <c r="J29" s="7"/>
      <c r="K29" s="7"/>
      <c r="L29" s="8" t="str">
        <f>ROUND(AVERAGE(L19:L28),3)&amp; "±" &amp;ROUND(_xlfn.STDEV.S(L19:L28),2)</f>
        <v>22.12±18.5</v>
      </c>
      <c r="M29" s="9" t="str">
        <f>TEXT(AVERAGE(M19:M28),"0.00%") &amp; "±" &amp; TEXT(_xlfn.STDEV.S(M19:M28),"0.00%")</f>
        <v>27.51%±23.25%</v>
      </c>
      <c r="N29" s="8" t="str">
        <f>ROUND(AVERAGE(N19:N28),3)&amp; "±" &amp;ROUND(_xlfn.STDEV.S(N19:N28),2)</f>
        <v>20.758±20.18</v>
      </c>
      <c r="O29" s="8">
        <f>AVERAGE(O19:O28)</f>
        <v>1.0299999999999998</v>
      </c>
      <c r="Q29" s="7"/>
      <c r="R29" s="7"/>
      <c r="S29" s="7"/>
      <c r="T29" s="8" t="str">
        <f>ROUND(AVERAGE(T19:T28),3)&amp; "±" &amp;ROUND(_xlfn.STDEV.S(T19:T28),2)</f>
        <v>137.293±20.13</v>
      </c>
      <c r="U29" s="9" t="str">
        <f>TEXT(AVERAGE(U19:U28),"0.00%") &amp; "±" &amp; TEXT(_xlfn.STDEV.S(U19:U28),"0.00%")</f>
        <v>55.52%±7.40%</v>
      </c>
      <c r="V29" s="8" t="str">
        <f>ROUND(AVERAGE(V19:V28),3)&amp; "±" &amp;ROUND(_xlfn.STDEV.S(V19:V28),2)</f>
        <v>-137.293±20.13</v>
      </c>
      <c r="W29" s="8">
        <f>AVERAGE(W19:W28)</f>
        <v>1.1800000000000002</v>
      </c>
    </row>
    <row r="31" spans="1:23" ht="18" x14ac:dyDescent="0.3">
      <c r="A31" s="12" t="s">
        <v>9</v>
      </c>
      <c r="B31" s="12"/>
      <c r="C31" s="12"/>
      <c r="D31" s="12"/>
      <c r="E31" s="12"/>
      <c r="F31" s="12"/>
      <c r="G31" s="12"/>
      <c r="I31" s="15" t="s">
        <v>18</v>
      </c>
      <c r="J31" s="15"/>
      <c r="K31" s="15"/>
      <c r="L31" s="15"/>
      <c r="M31" s="15"/>
      <c r="N31" s="15"/>
      <c r="O31" s="15"/>
      <c r="Q31" s="17" t="s">
        <v>26</v>
      </c>
      <c r="R31" s="17"/>
      <c r="S31" s="17"/>
      <c r="T31" s="17"/>
      <c r="U31" s="17"/>
      <c r="V31" s="17"/>
      <c r="W31" s="17"/>
    </row>
    <row r="32" spans="1:23" ht="18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I32" s="1" t="s">
        <v>0</v>
      </c>
      <c r="J32" s="1" t="s">
        <v>1</v>
      </c>
      <c r="K32" s="1" t="s">
        <v>2</v>
      </c>
      <c r="L32" s="1" t="s">
        <v>3</v>
      </c>
      <c r="M32" s="1" t="s">
        <v>4</v>
      </c>
      <c r="N32" s="1" t="s">
        <v>5</v>
      </c>
      <c r="O32" s="1" t="s">
        <v>6</v>
      </c>
      <c r="Q32" s="1" t="s">
        <v>0</v>
      </c>
      <c r="R32" s="1" t="s">
        <v>1</v>
      </c>
      <c r="S32" s="1" t="s">
        <v>2</v>
      </c>
      <c r="T32" s="1" t="s">
        <v>3</v>
      </c>
      <c r="U32" s="1" t="s">
        <v>4</v>
      </c>
      <c r="V32" s="1" t="s">
        <v>5</v>
      </c>
      <c r="W32" s="1" t="s">
        <v>6</v>
      </c>
    </row>
    <row r="33" spans="1:23" ht="18" x14ac:dyDescent="0.3">
      <c r="A33" s="2">
        <v>1</v>
      </c>
      <c r="B33" s="2">
        <v>321.54000000000002</v>
      </c>
      <c r="C33" s="2">
        <v>322</v>
      </c>
      <c r="D33" s="3">
        <f t="shared" ref="D33:D42" si="18">ABS(B33-C33)</f>
        <v>0.45999999999997954</v>
      </c>
      <c r="E33" s="4">
        <f t="shared" ref="E33:E42" si="19">ABS(B33-C33)/C33</f>
        <v>1.428571428571365E-3</v>
      </c>
      <c r="F33" s="5">
        <f t="shared" ref="F33:F42" si="20">B33-C33</f>
        <v>-0.45999999999997954</v>
      </c>
      <c r="G33" s="2">
        <v>1.23</v>
      </c>
      <c r="I33" s="2">
        <v>1</v>
      </c>
      <c r="J33" s="2">
        <v>646.41</v>
      </c>
      <c r="K33" s="2">
        <v>644</v>
      </c>
      <c r="L33" s="3">
        <f t="shared" ref="L33:L42" si="21">ABS(J33-K33)</f>
        <v>2.4099999999999682</v>
      </c>
      <c r="M33" s="4">
        <f t="shared" ref="M33:M42" si="22">ABS(J33-K33)/K33</f>
        <v>3.7422360248446709E-3</v>
      </c>
      <c r="N33" s="5">
        <f t="shared" ref="N33:N42" si="23">J33-K33</f>
        <v>2.4099999999999682</v>
      </c>
      <c r="O33" s="2">
        <v>1.23</v>
      </c>
      <c r="Q33" s="2">
        <v>1</v>
      </c>
      <c r="R33" s="2">
        <v>80.38</v>
      </c>
      <c r="S33" s="2">
        <v>101</v>
      </c>
      <c r="T33" s="3">
        <f t="shared" ref="T33:T42" si="24">ABS(R33-S33)</f>
        <v>20.620000000000005</v>
      </c>
      <c r="U33" s="4">
        <f t="shared" ref="U33:U42" si="25">ABS(R33-S33)/S33</f>
        <v>0.2041584158415842</v>
      </c>
      <c r="V33" s="5">
        <f t="shared" ref="V33:V42" si="26">R33-S33</f>
        <v>-20.620000000000005</v>
      </c>
      <c r="W33" s="2">
        <v>1.04</v>
      </c>
    </row>
    <row r="34" spans="1:23" ht="18" x14ac:dyDescent="0.3">
      <c r="A34" s="2">
        <v>2</v>
      </c>
      <c r="B34" s="2">
        <v>338.97</v>
      </c>
      <c r="C34" s="2">
        <v>319</v>
      </c>
      <c r="D34" s="3">
        <f t="shared" si="18"/>
        <v>19.970000000000027</v>
      </c>
      <c r="E34" s="4">
        <f t="shared" si="19"/>
        <v>6.260188087774303E-2</v>
      </c>
      <c r="F34" s="5">
        <f t="shared" si="20"/>
        <v>19.970000000000027</v>
      </c>
      <c r="G34" s="2">
        <v>1.73</v>
      </c>
      <c r="I34" s="2">
        <v>2</v>
      </c>
      <c r="J34" s="2">
        <v>679.35</v>
      </c>
      <c r="K34" s="2">
        <v>638</v>
      </c>
      <c r="L34" s="3">
        <f t="shared" si="21"/>
        <v>41.350000000000023</v>
      </c>
      <c r="M34" s="4">
        <f t="shared" si="22"/>
        <v>6.481191222570537E-2</v>
      </c>
      <c r="N34" s="5">
        <f t="shared" si="23"/>
        <v>41.350000000000023</v>
      </c>
      <c r="O34" s="2">
        <v>1.73</v>
      </c>
      <c r="Q34" s="2">
        <v>2</v>
      </c>
      <c r="R34" s="2">
        <v>115.07</v>
      </c>
      <c r="S34" s="2">
        <v>99</v>
      </c>
      <c r="T34" s="3">
        <f t="shared" si="24"/>
        <v>16.069999999999993</v>
      </c>
      <c r="U34" s="4">
        <f t="shared" si="25"/>
        <v>0.16232323232323226</v>
      </c>
      <c r="V34" s="5">
        <f t="shared" si="26"/>
        <v>16.069999999999993</v>
      </c>
      <c r="W34" s="2">
        <v>1.01</v>
      </c>
    </row>
    <row r="35" spans="1:23" ht="18" x14ac:dyDescent="0.3">
      <c r="A35" s="2">
        <v>3</v>
      </c>
      <c r="B35" s="2">
        <v>335.16</v>
      </c>
      <c r="C35" s="2">
        <v>328</v>
      </c>
      <c r="D35" s="3">
        <f t="shared" si="18"/>
        <v>7.160000000000025</v>
      </c>
      <c r="E35" s="4">
        <f t="shared" si="19"/>
        <v>2.1829268292683002E-2</v>
      </c>
      <c r="F35" s="5">
        <f t="shared" si="20"/>
        <v>7.160000000000025</v>
      </c>
      <c r="G35" s="2">
        <v>1.34</v>
      </c>
      <c r="I35" s="2">
        <v>3</v>
      </c>
      <c r="J35" s="6">
        <v>671.7</v>
      </c>
      <c r="K35" s="2">
        <v>656</v>
      </c>
      <c r="L35" s="3">
        <f t="shared" si="21"/>
        <v>15.700000000000045</v>
      </c>
      <c r="M35" s="4">
        <f t="shared" si="22"/>
        <v>2.3932926829268363E-2</v>
      </c>
      <c r="N35" s="5">
        <f t="shared" si="23"/>
        <v>15.700000000000045</v>
      </c>
      <c r="O35" s="2">
        <v>1.34</v>
      </c>
      <c r="Q35" s="2">
        <v>3</v>
      </c>
      <c r="R35" s="2">
        <v>118.09</v>
      </c>
      <c r="S35" s="2">
        <v>101</v>
      </c>
      <c r="T35" s="3">
        <f t="shared" si="24"/>
        <v>17.090000000000003</v>
      </c>
      <c r="U35" s="4">
        <f t="shared" si="25"/>
        <v>0.16920792079207925</v>
      </c>
      <c r="V35" s="5">
        <f t="shared" si="26"/>
        <v>17.090000000000003</v>
      </c>
      <c r="W35" s="2">
        <v>1.01</v>
      </c>
    </row>
    <row r="36" spans="1:23" ht="18" x14ac:dyDescent="0.3">
      <c r="A36" s="2">
        <v>4</v>
      </c>
      <c r="B36" s="2">
        <v>371.57</v>
      </c>
      <c r="C36" s="2">
        <v>317</v>
      </c>
      <c r="D36" s="3">
        <f t="shared" si="18"/>
        <v>54.569999999999993</v>
      </c>
      <c r="E36" s="4">
        <f t="shared" si="19"/>
        <v>0.17214511041009462</v>
      </c>
      <c r="F36" s="5">
        <f t="shared" si="20"/>
        <v>54.569999999999993</v>
      </c>
      <c r="G36" s="6">
        <v>1.28</v>
      </c>
      <c r="I36" s="2">
        <v>4</v>
      </c>
      <c r="J36" s="2">
        <v>743.89</v>
      </c>
      <c r="K36" s="2">
        <v>634</v>
      </c>
      <c r="L36" s="3">
        <f t="shared" si="21"/>
        <v>109.88999999999999</v>
      </c>
      <c r="M36" s="4">
        <f t="shared" si="22"/>
        <v>0.17332807570977915</v>
      </c>
      <c r="N36" s="5">
        <f t="shared" si="23"/>
        <v>109.88999999999999</v>
      </c>
      <c r="O36" s="6">
        <v>1.28</v>
      </c>
      <c r="Q36" s="2">
        <v>4</v>
      </c>
      <c r="R36" s="2">
        <v>130.91999999999999</v>
      </c>
      <c r="S36" s="2">
        <v>100</v>
      </c>
      <c r="T36" s="3">
        <f t="shared" si="24"/>
        <v>30.919999999999987</v>
      </c>
      <c r="U36" s="4">
        <f t="shared" si="25"/>
        <v>0.30919999999999986</v>
      </c>
      <c r="V36" s="5">
        <f t="shared" si="26"/>
        <v>30.919999999999987</v>
      </c>
      <c r="W36" s="6">
        <v>1.03</v>
      </c>
    </row>
    <row r="37" spans="1:23" ht="18" x14ac:dyDescent="0.3">
      <c r="A37" s="2">
        <v>5</v>
      </c>
      <c r="B37" s="2">
        <v>357.05</v>
      </c>
      <c r="C37" s="2">
        <v>317</v>
      </c>
      <c r="D37" s="3">
        <f t="shared" si="18"/>
        <v>40.050000000000011</v>
      </c>
      <c r="E37" s="4">
        <f t="shared" si="19"/>
        <v>0.12634069400630918</v>
      </c>
      <c r="F37" s="5">
        <f t="shared" si="20"/>
        <v>40.050000000000011</v>
      </c>
      <c r="G37" s="2">
        <v>1.41</v>
      </c>
      <c r="I37" s="2">
        <v>5</v>
      </c>
      <c r="J37" s="2">
        <v>713.23</v>
      </c>
      <c r="K37" s="2">
        <v>634</v>
      </c>
      <c r="L37" s="3">
        <f t="shared" si="21"/>
        <v>79.230000000000018</v>
      </c>
      <c r="M37" s="4">
        <f t="shared" si="22"/>
        <v>0.1249684542586751</v>
      </c>
      <c r="N37" s="5">
        <f t="shared" si="23"/>
        <v>79.230000000000018</v>
      </c>
      <c r="O37" s="2">
        <v>1.41</v>
      </c>
      <c r="Q37" s="2">
        <v>5</v>
      </c>
      <c r="R37" s="2">
        <v>89.18</v>
      </c>
      <c r="S37" s="2">
        <v>100</v>
      </c>
      <c r="T37" s="3">
        <f t="shared" si="24"/>
        <v>10.819999999999993</v>
      </c>
      <c r="U37" s="4">
        <f t="shared" si="25"/>
        <v>0.10819999999999994</v>
      </c>
      <c r="V37" s="5">
        <f t="shared" si="26"/>
        <v>-10.819999999999993</v>
      </c>
      <c r="W37" s="2">
        <v>1.02</v>
      </c>
    </row>
    <row r="38" spans="1:23" ht="18" x14ac:dyDescent="0.3">
      <c r="A38" s="2">
        <v>6</v>
      </c>
      <c r="B38" s="2">
        <v>373.09</v>
      </c>
      <c r="C38" s="2">
        <v>328</v>
      </c>
      <c r="D38" s="3">
        <f t="shared" si="18"/>
        <v>45.089999999999975</v>
      </c>
      <c r="E38" s="4">
        <f t="shared" si="19"/>
        <v>0.13746951219512188</v>
      </c>
      <c r="F38" s="5">
        <f t="shared" si="20"/>
        <v>45.089999999999975</v>
      </c>
      <c r="G38" s="2">
        <v>1.46</v>
      </c>
      <c r="I38" s="2">
        <v>6</v>
      </c>
      <c r="J38" s="2">
        <v>750.36</v>
      </c>
      <c r="K38" s="2">
        <v>656</v>
      </c>
      <c r="L38" s="3">
        <f t="shared" si="21"/>
        <v>94.360000000000014</v>
      </c>
      <c r="M38" s="4">
        <f t="shared" si="22"/>
        <v>0.14384146341463416</v>
      </c>
      <c r="N38" s="5">
        <f t="shared" si="23"/>
        <v>94.360000000000014</v>
      </c>
      <c r="O38" s="6">
        <v>1.46</v>
      </c>
      <c r="Q38" s="2">
        <v>6</v>
      </c>
      <c r="R38" s="2">
        <v>65.83</v>
      </c>
      <c r="S38" s="2">
        <v>100</v>
      </c>
      <c r="T38" s="3">
        <f t="shared" si="24"/>
        <v>34.17</v>
      </c>
      <c r="U38" s="4">
        <f t="shared" si="25"/>
        <v>0.3417</v>
      </c>
      <c r="V38" s="5">
        <f t="shared" si="26"/>
        <v>-34.17</v>
      </c>
      <c r="W38" s="6">
        <v>1.01</v>
      </c>
    </row>
    <row r="39" spans="1:23" ht="18" x14ac:dyDescent="0.3">
      <c r="A39" s="2">
        <v>7</v>
      </c>
      <c r="B39" s="2">
        <v>344.47</v>
      </c>
      <c r="C39" s="2">
        <v>302</v>
      </c>
      <c r="D39" s="3">
        <f t="shared" si="18"/>
        <v>42.470000000000027</v>
      </c>
      <c r="E39" s="4">
        <f t="shared" si="19"/>
        <v>0.14062913907284777</v>
      </c>
      <c r="F39" s="5">
        <f t="shared" si="20"/>
        <v>42.470000000000027</v>
      </c>
      <c r="G39" s="6">
        <v>1.45</v>
      </c>
      <c r="I39" s="2">
        <v>7</v>
      </c>
      <c r="J39" s="2">
        <v>687.38</v>
      </c>
      <c r="K39" s="2">
        <v>604</v>
      </c>
      <c r="L39" s="3">
        <f t="shared" si="21"/>
        <v>83.38</v>
      </c>
      <c r="M39" s="4">
        <f t="shared" si="22"/>
        <v>0.13804635761589404</v>
      </c>
      <c r="N39" s="5">
        <f t="shared" si="23"/>
        <v>83.38</v>
      </c>
      <c r="O39" s="6">
        <v>1.45</v>
      </c>
      <c r="Q39" s="2">
        <v>7</v>
      </c>
      <c r="R39" s="2">
        <v>109.95</v>
      </c>
      <c r="S39" s="2">
        <v>100</v>
      </c>
      <c r="T39" s="3">
        <f t="shared" si="24"/>
        <v>9.9500000000000028</v>
      </c>
      <c r="U39" s="4">
        <f t="shared" si="25"/>
        <v>9.9500000000000033E-2</v>
      </c>
      <c r="V39" s="5">
        <f t="shared" si="26"/>
        <v>9.9500000000000028</v>
      </c>
      <c r="W39" s="6">
        <v>1.02</v>
      </c>
    </row>
    <row r="40" spans="1:23" ht="18" x14ac:dyDescent="0.3">
      <c r="A40" s="2">
        <v>8</v>
      </c>
      <c r="B40" s="2">
        <v>319.89</v>
      </c>
      <c r="C40" s="2">
        <v>326</v>
      </c>
      <c r="D40" s="3">
        <f t="shared" si="18"/>
        <v>6.1100000000000136</v>
      </c>
      <c r="E40" s="4">
        <f t="shared" si="19"/>
        <v>1.87423312883436E-2</v>
      </c>
      <c r="F40" s="5">
        <f t="shared" si="20"/>
        <v>-6.1100000000000136</v>
      </c>
      <c r="G40" s="2">
        <v>1.47</v>
      </c>
      <c r="I40" s="2">
        <v>8</v>
      </c>
      <c r="J40" s="2">
        <v>643.67999999999995</v>
      </c>
      <c r="K40" s="2">
        <v>652</v>
      </c>
      <c r="L40" s="3">
        <f t="shared" si="21"/>
        <v>8.32000000000005</v>
      </c>
      <c r="M40" s="4">
        <f t="shared" si="22"/>
        <v>1.2760736196319095E-2</v>
      </c>
      <c r="N40" s="5">
        <f t="shared" si="23"/>
        <v>-8.32000000000005</v>
      </c>
      <c r="O40" s="2">
        <v>1.47</v>
      </c>
      <c r="Q40" s="2">
        <v>8</v>
      </c>
      <c r="R40" s="2">
        <v>110.13</v>
      </c>
      <c r="S40" s="2">
        <v>97</v>
      </c>
      <c r="T40" s="3">
        <f t="shared" si="24"/>
        <v>13.129999999999995</v>
      </c>
      <c r="U40" s="4">
        <f t="shared" si="25"/>
        <v>0.13536082474226799</v>
      </c>
      <c r="V40" s="5">
        <f t="shared" si="26"/>
        <v>13.129999999999995</v>
      </c>
      <c r="W40" s="2">
        <v>1.02</v>
      </c>
    </row>
    <row r="41" spans="1:23" ht="18" x14ac:dyDescent="0.3">
      <c r="A41" s="2">
        <v>9</v>
      </c>
      <c r="B41" s="2">
        <v>381.31</v>
      </c>
      <c r="C41" s="2">
        <v>340</v>
      </c>
      <c r="D41" s="3">
        <f t="shared" si="18"/>
        <v>41.31</v>
      </c>
      <c r="E41" s="4">
        <f t="shared" si="19"/>
        <v>0.12150000000000001</v>
      </c>
      <c r="F41" s="5">
        <f t="shared" si="20"/>
        <v>41.31</v>
      </c>
      <c r="G41" s="2">
        <v>1.61</v>
      </c>
      <c r="I41" s="2">
        <v>9</v>
      </c>
      <c r="J41" s="6">
        <v>763.9</v>
      </c>
      <c r="K41" s="2">
        <v>680</v>
      </c>
      <c r="L41" s="3">
        <f t="shared" si="21"/>
        <v>83.899999999999977</v>
      </c>
      <c r="M41" s="4">
        <f t="shared" si="22"/>
        <v>0.12338235294117644</v>
      </c>
      <c r="N41" s="5">
        <f t="shared" si="23"/>
        <v>83.899999999999977</v>
      </c>
      <c r="O41" s="2">
        <v>1.61</v>
      </c>
      <c r="Q41" s="2">
        <v>9</v>
      </c>
      <c r="R41" s="2">
        <v>107.32</v>
      </c>
      <c r="S41" s="2">
        <v>97</v>
      </c>
      <c r="T41" s="3">
        <f t="shared" si="24"/>
        <v>10.319999999999993</v>
      </c>
      <c r="U41" s="4">
        <f t="shared" si="25"/>
        <v>0.10639175257731952</v>
      </c>
      <c r="V41" s="5">
        <f t="shared" si="26"/>
        <v>10.319999999999993</v>
      </c>
      <c r="W41" s="2">
        <v>1.04</v>
      </c>
    </row>
    <row r="42" spans="1:23" ht="18" x14ac:dyDescent="0.3">
      <c r="A42" s="2">
        <v>10</v>
      </c>
      <c r="B42" s="6">
        <v>392.6</v>
      </c>
      <c r="C42" s="2">
        <v>328</v>
      </c>
      <c r="D42" s="3">
        <f t="shared" si="18"/>
        <v>64.600000000000023</v>
      </c>
      <c r="E42" s="4">
        <f t="shared" si="19"/>
        <v>0.19695121951219519</v>
      </c>
      <c r="F42" s="5">
        <f t="shared" si="20"/>
        <v>64.600000000000023</v>
      </c>
      <c r="G42" s="2">
        <v>1.39</v>
      </c>
      <c r="I42" s="2">
        <v>10</v>
      </c>
      <c r="J42" s="6">
        <v>785.83</v>
      </c>
      <c r="K42" s="2">
        <v>656</v>
      </c>
      <c r="L42" s="3">
        <f t="shared" si="21"/>
        <v>129.83000000000004</v>
      </c>
      <c r="M42" s="4">
        <f t="shared" si="22"/>
        <v>0.19791158536585371</v>
      </c>
      <c r="N42" s="5">
        <f t="shared" si="23"/>
        <v>129.83000000000004</v>
      </c>
      <c r="O42" s="2">
        <v>1.39</v>
      </c>
      <c r="Q42" s="2">
        <v>10</v>
      </c>
      <c r="R42" s="6">
        <v>100.54</v>
      </c>
      <c r="S42" s="2">
        <v>100</v>
      </c>
      <c r="T42" s="3">
        <f t="shared" si="24"/>
        <v>0.54000000000000625</v>
      </c>
      <c r="U42" s="4">
        <f t="shared" si="25"/>
        <v>5.4000000000000627E-3</v>
      </c>
      <c r="V42" s="5">
        <f t="shared" si="26"/>
        <v>0.54000000000000625</v>
      </c>
      <c r="W42" s="2">
        <v>1.03</v>
      </c>
    </row>
    <row r="43" spans="1:23" ht="18" x14ac:dyDescent="0.3">
      <c r="A43" s="7"/>
      <c r="B43" s="7"/>
      <c r="C43" s="7"/>
      <c r="D43" s="8" t="str">
        <f>ROUND(AVERAGE(D33:D42),3)&amp; "±" &amp;ROUND(_xlfn.STDEV.S(D33:D42),2)</f>
        <v>32.179±22.19</v>
      </c>
      <c r="E43" s="9" t="str">
        <f>TEXT(AVERAGE(E33:E42),"0.00%") &amp; "±" &amp; TEXT(_xlfn.STDEV.S(E33:E42),"0.00%")</f>
        <v>10.00%±6.88%</v>
      </c>
      <c r="F43" s="8" t="str">
        <f>ROUND(AVERAGE(F33:F42),3)&amp; "±" &amp;ROUND(_xlfn.STDEV.S(F33:F42),2)</f>
        <v>30.865±24.17</v>
      </c>
      <c r="G43" s="8">
        <f>AVERAGE(G33:G42)</f>
        <v>1.4369999999999998</v>
      </c>
      <c r="I43" s="7"/>
      <c r="J43" s="7"/>
      <c r="K43" s="7"/>
      <c r="L43" s="8" t="str">
        <f>ROUND(AVERAGE(L33:L42),3)&amp; "±" &amp;ROUND(_xlfn.STDEV.S(L33:L42),2)</f>
        <v>64.837±44.84</v>
      </c>
      <c r="M43" s="9" t="str">
        <f>TEXT(AVERAGE(M33:M42),"0.00%") &amp; "±" &amp; TEXT(_xlfn.STDEV.S(M33:M42),"0.00%")</f>
        <v>10.07%±6.94%</v>
      </c>
      <c r="N43" s="8" t="str">
        <f>ROUND(AVERAGE(N33:N42),3)&amp; "±" &amp;ROUND(_xlfn.STDEV.S(N33:N42),2)</f>
        <v>63.173±47.41</v>
      </c>
      <c r="O43" s="8">
        <f>AVERAGE(O33:O42)</f>
        <v>1.4369999999999998</v>
      </c>
      <c r="Q43" s="7"/>
      <c r="R43" s="7"/>
      <c r="S43" s="7"/>
      <c r="T43" s="8" t="str">
        <f>ROUND(AVERAGE(T33:T42),3)&amp; "±" &amp;ROUND(_xlfn.STDEV.S(T33:T42),2)</f>
        <v>16.363±10.09</v>
      </c>
      <c r="U43" s="9" t="str">
        <f>TEXT(AVERAGE(U33:U42),"0.00%") &amp; "±" &amp; TEXT(_xlfn.STDEV.S(U33:U42),"0.00%")</f>
        <v>16.41%±10.05%</v>
      </c>
      <c r="V43" s="8" t="str">
        <f>ROUND(AVERAGE(V33:V42),3)&amp; "±" &amp;ROUND(_xlfn.STDEV.S(V33:V42),2)</f>
        <v>3.241±19.69</v>
      </c>
      <c r="W43" s="8">
        <f>AVERAGE(W33:W42)</f>
        <v>1.0229999999999999</v>
      </c>
    </row>
    <row r="45" spans="1:23" ht="18" x14ac:dyDescent="0.3">
      <c r="A45" s="12" t="s">
        <v>10</v>
      </c>
      <c r="B45" s="12"/>
      <c r="C45" s="12"/>
      <c r="D45" s="12"/>
      <c r="E45" s="12"/>
      <c r="F45" s="12"/>
      <c r="G45" s="12"/>
      <c r="I45" s="15" t="s">
        <v>17</v>
      </c>
      <c r="J45" s="15"/>
      <c r="K45" s="15"/>
      <c r="L45" s="15"/>
      <c r="M45" s="15"/>
      <c r="N45" s="15"/>
      <c r="O45" s="15"/>
    </row>
    <row r="46" spans="1:23" ht="1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I46" s="1" t="s">
        <v>0</v>
      </c>
      <c r="J46" s="1" t="s">
        <v>1</v>
      </c>
      <c r="K46" s="1" t="s">
        <v>2</v>
      </c>
      <c r="L46" s="1" t="s">
        <v>3</v>
      </c>
      <c r="M46" s="1" t="s">
        <v>4</v>
      </c>
      <c r="N46" s="1" t="s">
        <v>5</v>
      </c>
      <c r="O46" s="1" t="s">
        <v>6</v>
      </c>
    </row>
    <row r="47" spans="1:23" ht="18" x14ac:dyDescent="0.3">
      <c r="A47" s="2">
        <v>1</v>
      </c>
      <c r="B47" s="2">
        <v>317.94</v>
      </c>
      <c r="C47" s="2">
        <v>322</v>
      </c>
      <c r="D47" s="3">
        <f t="shared" ref="D47:D56" si="27">ABS(B47-C47)</f>
        <v>4.0600000000000023</v>
      </c>
      <c r="E47" s="4">
        <f t="shared" ref="E47:E56" si="28">ABS(B47-C47)/C47</f>
        <v>1.260869565217392E-2</v>
      </c>
      <c r="F47" s="5">
        <f t="shared" ref="F47:F56" si="29">B47-C47</f>
        <v>-4.0600000000000023</v>
      </c>
      <c r="G47" s="2">
        <v>1.62</v>
      </c>
      <c r="I47" s="2">
        <v>1</v>
      </c>
      <c r="J47" s="2">
        <v>634.67999999999995</v>
      </c>
      <c r="K47" s="2">
        <v>644</v>
      </c>
      <c r="L47" s="3">
        <f t="shared" ref="L47:L56" si="30">ABS(J47-K47)</f>
        <v>9.32000000000005</v>
      </c>
      <c r="M47" s="4">
        <f t="shared" ref="M47:M56" si="31">ABS(J47-K47)/K47</f>
        <v>1.4472049689441071E-2</v>
      </c>
      <c r="N47" s="5">
        <f t="shared" ref="N47:N56" si="32">J47-K47</f>
        <v>-9.32000000000005</v>
      </c>
      <c r="O47" s="2">
        <v>1.62</v>
      </c>
    </row>
    <row r="48" spans="1:23" ht="18" x14ac:dyDescent="0.3">
      <c r="A48" s="2">
        <v>2</v>
      </c>
      <c r="B48" s="2">
        <v>344.19</v>
      </c>
      <c r="C48" s="2">
        <v>319</v>
      </c>
      <c r="D48" s="3">
        <f t="shared" si="27"/>
        <v>25.189999999999998</v>
      </c>
      <c r="E48" s="4">
        <f t="shared" si="28"/>
        <v>7.8965517241379304E-2</v>
      </c>
      <c r="F48" s="5">
        <f t="shared" si="29"/>
        <v>25.189999999999998</v>
      </c>
      <c r="G48" s="2">
        <v>1.96</v>
      </c>
      <c r="I48" s="2">
        <v>2</v>
      </c>
      <c r="J48" s="2">
        <v>688.71</v>
      </c>
      <c r="K48" s="2">
        <v>638</v>
      </c>
      <c r="L48" s="3">
        <f t="shared" si="30"/>
        <v>50.710000000000036</v>
      </c>
      <c r="M48" s="4">
        <f t="shared" si="31"/>
        <v>7.9482758620689709E-2</v>
      </c>
      <c r="N48" s="5">
        <f t="shared" si="32"/>
        <v>50.710000000000036</v>
      </c>
      <c r="O48" s="2">
        <v>1.96</v>
      </c>
    </row>
    <row r="49" spans="1:15" ht="18" x14ac:dyDescent="0.3">
      <c r="A49" s="2">
        <v>3</v>
      </c>
      <c r="B49" s="2">
        <v>368.21</v>
      </c>
      <c r="C49" s="2">
        <v>328</v>
      </c>
      <c r="D49" s="3">
        <f t="shared" si="27"/>
        <v>40.20999999999998</v>
      </c>
      <c r="E49" s="4">
        <f t="shared" si="28"/>
        <v>0.12259146341463409</v>
      </c>
      <c r="F49" s="5">
        <f t="shared" si="29"/>
        <v>40.20999999999998</v>
      </c>
      <c r="G49" s="2">
        <v>1.31</v>
      </c>
      <c r="I49" s="2">
        <v>3</v>
      </c>
      <c r="J49" s="2">
        <v>732.15</v>
      </c>
      <c r="K49" s="2">
        <v>656</v>
      </c>
      <c r="L49" s="3">
        <f t="shared" si="30"/>
        <v>76.149999999999977</v>
      </c>
      <c r="M49" s="4">
        <f t="shared" si="31"/>
        <v>0.1160823170731707</v>
      </c>
      <c r="N49" s="5">
        <f t="shared" si="32"/>
        <v>76.149999999999977</v>
      </c>
      <c r="O49" s="2">
        <v>1.31</v>
      </c>
    </row>
    <row r="50" spans="1:15" ht="18" x14ac:dyDescent="0.3">
      <c r="A50" s="2">
        <v>4</v>
      </c>
      <c r="B50" s="2">
        <v>413.26</v>
      </c>
      <c r="C50" s="2">
        <v>317</v>
      </c>
      <c r="D50" s="3">
        <f t="shared" si="27"/>
        <v>96.259999999999991</v>
      </c>
      <c r="E50" s="4">
        <f t="shared" si="28"/>
        <v>0.30365930599369084</v>
      </c>
      <c r="F50" s="5">
        <f t="shared" si="29"/>
        <v>96.259999999999991</v>
      </c>
      <c r="G50" s="6">
        <v>1.23</v>
      </c>
      <c r="I50" s="2">
        <v>4</v>
      </c>
      <c r="J50" s="2">
        <v>823.96</v>
      </c>
      <c r="K50" s="2">
        <v>634</v>
      </c>
      <c r="L50" s="3">
        <f t="shared" si="30"/>
        <v>189.96000000000004</v>
      </c>
      <c r="M50" s="4">
        <f t="shared" si="31"/>
        <v>0.29962145110410099</v>
      </c>
      <c r="N50" s="5">
        <f t="shared" si="32"/>
        <v>189.96000000000004</v>
      </c>
      <c r="O50" s="6">
        <v>1.23</v>
      </c>
    </row>
    <row r="51" spans="1:15" ht="18" x14ac:dyDescent="0.3">
      <c r="A51" s="2">
        <v>5</v>
      </c>
      <c r="B51" s="2">
        <v>377.81</v>
      </c>
      <c r="C51" s="2">
        <v>317</v>
      </c>
      <c r="D51" s="3">
        <f t="shared" si="27"/>
        <v>60.81</v>
      </c>
      <c r="E51" s="4">
        <f t="shared" si="28"/>
        <v>0.19182965299684543</v>
      </c>
      <c r="F51" s="5">
        <f t="shared" si="29"/>
        <v>60.81</v>
      </c>
      <c r="G51" s="2">
        <v>1.36</v>
      </c>
      <c r="I51" s="2">
        <v>5</v>
      </c>
      <c r="J51" s="2">
        <v>755.12</v>
      </c>
      <c r="K51" s="2">
        <v>634</v>
      </c>
      <c r="L51" s="3">
        <f t="shared" si="30"/>
        <v>121.12</v>
      </c>
      <c r="M51" s="4">
        <f t="shared" si="31"/>
        <v>0.19104100946372241</v>
      </c>
      <c r="N51" s="5">
        <f t="shared" si="32"/>
        <v>121.12</v>
      </c>
      <c r="O51" s="2">
        <v>1.36</v>
      </c>
    </row>
    <row r="52" spans="1:15" ht="18" x14ac:dyDescent="0.3">
      <c r="A52" s="2">
        <v>6</v>
      </c>
      <c r="B52" s="2">
        <v>388.05</v>
      </c>
      <c r="C52" s="2">
        <v>328</v>
      </c>
      <c r="D52" s="3">
        <f t="shared" si="27"/>
        <v>60.050000000000011</v>
      </c>
      <c r="E52" s="4">
        <f t="shared" si="28"/>
        <v>0.18307926829268295</v>
      </c>
      <c r="F52" s="5">
        <f t="shared" si="29"/>
        <v>60.050000000000011</v>
      </c>
      <c r="G52" s="6">
        <v>1.7</v>
      </c>
      <c r="I52" s="2">
        <v>6</v>
      </c>
      <c r="J52" s="2">
        <v>773.3</v>
      </c>
      <c r="K52" s="2">
        <v>656</v>
      </c>
      <c r="L52" s="3">
        <f t="shared" si="30"/>
        <v>117.29999999999995</v>
      </c>
      <c r="M52" s="4">
        <f t="shared" si="31"/>
        <v>0.17881097560975603</v>
      </c>
      <c r="N52" s="5">
        <f t="shared" si="32"/>
        <v>117.29999999999995</v>
      </c>
      <c r="O52" s="6">
        <v>1.7</v>
      </c>
    </row>
    <row r="53" spans="1:15" ht="18" x14ac:dyDescent="0.3">
      <c r="A53" s="2">
        <v>7</v>
      </c>
      <c r="B53" s="2">
        <v>379.34</v>
      </c>
      <c r="C53" s="2">
        <v>302</v>
      </c>
      <c r="D53" s="3">
        <f t="shared" si="27"/>
        <v>77.339999999999975</v>
      </c>
      <c r="E53" s="4">
        <f t="shared" si="28"/>
        <v>0.256092715231788</v>
      </c>
      <c r="F53" s="5">
        <f t="shared" si="29"/>
        <v>77.339999999999975</v>
      </c>
      <c r="G53" s="6">
        <v>1.34</v>
      </c>
      <c r="I53" s="2">
        <v>7</v>
      </c>
      <c r="J53" s="2">
        <v>758.65</v>
      </c>
      <c r="K53" s="2">
        <v>604</v>
      </c>
      <c r="L53" s="3">
        <f t="shared" si="30"/>
        <v>154.64999999999998</v>
      </c>
      <c r="M53" s="4">
        <f t="shared" si="31"/>
        <v>0.25604304635761588</v>
      </c>
      <c r="N53" s="5">
        <f t="shared" si="32"/>
        <v>154.64999999999998</v>
      </c>
      <c r="O53" s="6">
        <v>1.34</v>
      </c>
    </row>
    <row r="54" spans="1:15" ht="18" x14ac:dyDescent="0.3">
      <c r="A54" s="2">
        <v>8</v>
      </c>
      <c r="B54" s="2">
        <v>328.98</v>
      </c>
      <c r="C54" s="2">
        <v>326</v>
      </c>
      <c r="D54" s="3">
        <f t="shared" si="27"/>
        <v>2.9800000000000182</v>
      </c>
      <c r="E54" s="4">
        <f t="shared" si="28"/>
        <v>9.1411042944785827E-3</v>
      </c>
      <c r="F54" s="5">
        <f t="shared" si="29"/>
        <v>2.9800000000000182</v>
      </c>
      <c r="G54" s="2">
        <v>1.36</v>
      </c>
      <c r="I54" s="2">
        <v>8</v>
      </c>
      <c r="J54" s="2">
        <v>653.89</v>
      </c>
      <c r="K54" s="2">
        <v>652</v>
      </c>
      <c r="L54" s="3">
        <f t="shared" si="30"/>
        <v>1.8899999999999864</v>
      </c>
      <c r="M54" s="4">
        <f t="shared" si="31"/>
        <v>2.8987730061349483E-3</v>
      </c>
      <c r="N54" s="5">
        <f t="shared" si="32"/>
        <v>1.8899999999999864</v>
      </c>
      <c r="O54" s="2">
        <v>1.36</v>
      </c>
    </row>
    <row r="55" spans="1:15" ht="18" x14ac:dyDescent="0.3">
      <c r="A55" s="2">
        <v>9</v>
      </c>
      <c r="B55" s="2">
        <v>390.67</v>
      </c>
      <c r="C55" s="2">
        <v>340</v>
      </c>
      <c r="D55" s="3">
        <f t="shared" si="27"/>
        <v>50.670000000000016</v>
      </c>
      <c r="E55" s="4">
        <f t="shared" si="28"/>
        <v>0.14902941176470594</v>
      </c>
      <c r="F55" s="5">
        <f t="shared" si="29"/>
        <v>50.670000000000016</v>
      </c>
      <c r="G55" s="2">
        <v>1.57</v>
      </c>
      <c r="I55" s="2">
        <v>9</v>
      </c>
      <c r="J55" s="2">
        <v>781.08</v>
      </c>
      <c r="K55" s="2">
        <v>680</v>
      </c>
      <c r="L55" s="3">
        <f t="shared" si="30"/>
        <v>101.08000000000004</v>
      </c>
      <c r="M55" s="4">
        <f t="shared" si="31"/>
        <v>0.14864705882352947</v>
      </c>
      <c r="N55" s="5">
        <f t="shared" si="32"/>
        <v>101.08000000000004</v>
      </c>
      <c r="O55" s="2">
        <v>1.57</v>
      </c>
    </row>
    <row r="56" spans="1:15" ht="18" x14ac:dyDescent="0.3">
      <c r="A56" s="2">
        <v>10</v>
      </c>
      <c r="B56" s="6">
        <v>393.66</v>
      </c>
      <c r="C56" s="2">
        <v>328</v>
      </c>
      <c r="D56" s="3">
        <f t="shared" si="27"/>
        <v>65.660000000000025</v>
      </c>
      <c r="E56" s="4">
        <f t="shared" si="28"/>
        <v>0.20018292682926836</v>
      </c>
      <c r="F56" s="5">
        <f t="shared" si="29"/>
        <v>65.660000000000025</v>
      </c>
      <c r="G56" s="2">
        <v>1.35</v>
      </c>
      <c r="I56" s="2">
        <v>10</v>
      </c>
      <c r="J56" s="6">
        <v>785.52</v>
      </c>
      <c r="K56" s="2">
        <v>656</v>
      </c>
      <c r="L56" s="3">
        <f t="shared" si="30"/>
        <v>129.51999999999998</v>
      </c>
      <c r="M56" s="4">
        <f t="shared" si="31"/>
        <v>0.19743902439024388</v>
      </c>
      <c r="N56" s="5">
        <f t="shared" si="32"/>
        <v>129.51999999999998</v>
      </c>
      <c r="O56" s="2">
        <v>1.35</v>
      </c>
    </row>
    <row r="57" spans="1:15" ht="18" x14ac:dyDescent="0.3">
      <c r="A57" s="7"/>
      <c r="B57" s="7"/>
      <c r="C57" s="7"/>
      <c r="D57" s="8" t="str">
        <f>ROUND(AVERAGE(D47:D56),3)&amp; "±" &amp;ROUND(_xlfn.STDEV.S(D47:D56),2)</f>
        <v>48.323±30.47</v>
      </c>
      <c r="E57" s="9" t="str">
        <f>TEXT(AVERAGE(E47:E56),"0.00%") &amp; "±" &amp; TEXT(_xlfn.STDEV.S(E47:E56),"0.00%")</f>
        <v>15.07%±9.70%</v>
      </c>
      <c r="F57" s="8" t="str">
        <f>ROUND(AVERAGE(F47:F56),3)&amp; "±" &amp;ROUND(_xlfn.STDEV.S(F47:F56),2)</f>
        <v>47.511±31.86</v>
      </c>
      <c r="G57" s="8">
        <f>AVERAGE(G47:G56)</f>
        <v>1.48</v>
      </c>
      <c r="I57" s="7"/>
      <c r="J57" s="7"/>
      <c r="K57" s="7"/>
      <c r="L57" s="8" t="str">
        <f>ROUND(AVERAGE(L47:L56),3)&amp; "±" &amp;ROUND(_xlfn.STDEV.S(L47:L56),2)</f>
        <v>95.17±60.84</v>
      </c>
      <c r="M57" s="9" t="str">
        <f>TEXT(AVERAGE(M47:M56),"0.00%") &amp; "±" &amp; TEXT(_xlfn.STDEV.S(M47:M56),"0.00%")</f>
        <v>14.85%±9.69%</v>
      </c>
      <c r="N57" s="8" t="str">
        <f>ROUND(AVERAGE(N47:N56),3)&amp; "±" &amp;ROUND(_xlfn.STDEV.S(N47:N56),2)</f>
        <v>93.306±63.97</v>
      </c>
      <c r="O57" s="8">
        <f>AVERAGE(O47:O56)</f>
        <v>1.48</v>
      </c>
    </row>
    <row r="59" spans="1:15" ht="18" x14ac:dyDescent="0.3">
      <c r="A59" s="12" t="s">
        <v>8</v>
      </c>
      <c r="B59" s="12"/>
      <c r="C59" s="12"/>
      <c r="D59" s="12"/>
      <c r="E59" s="12"/>
      <c r="F59" s="12"/>
      <c r="G59" s="12"/>
      <c r="I59" s="15" t="s">
        <v>21</v>
      </c>
      <c r="J59" s="15"/>
      <c r="K59" s="15"/>
      <c r="L59" s="15"/>
      <c r="M59" s="15"/>
      <c r="N59" s="15"/>
      <c r="O59" s="15"/>
    </row>
    <row r="60" spans="1:15" ht="18" x14ac:dyDescent="0.3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I60" s="1" t="s">
        <v>0</v>
      </c>
      <c r="J60" s="1" t="s">
        <v>1</v>
      </c>
      <c r="K60" s="1" t="s">
        <v>2</v>
      </c>
      <c r="L60" s="1" t="s">
        <v>3</v>
      </c>
      <c r="M60" s="1" t="s">
        <v>4</v>
      </c>
      <c r="N60" s="1" t="s">
        <v>5</v>
      </c>
      <c r="O60" s="1" t="s">
        <v>6</v>
      </c>
    </row>
    <row r="61" spans="1:15" ht="18" x14ac:dyDescent="0.3">
      <c r="A61" s="2">
        <v>1</v>
      </c>
      <c r="B61" s="2">
        <v>26.26</v>
      </c>
      <c r="C61" s="2">
        <v>41</v>
      </c>
      <c r="D61" s="3">
        <f t="shared" ref="D61:D70" si="33">ABS(B61-C61)</f>
        <v>14.739999999999998</v>
      </c>
      <c r="E61" s="4">
        <f t="shared" ref="E61:E70" si="34">ABS(B61-C61)/C61</f>
        <v>0.35951219512195121</v>
      </c>
      <c r="F61" s="5">
        <f t="shared" ref="F61:F70" si="35">B61-C61</f>
        <v>-14.739999999999998</v>
      </c>
      <c r="G61" s="6">
        <v>1.1000000000000001</v>
      </c>
      <c r="I61" s="2">
        <v>1</v>
      </c>
      <c r="J61" s="2">
        <v>54.74</v>
      </c>
      <c r="K61" s="2">
        <v>82</v>
      </c>
      <c r="L61" s="3">
        <f t="shared" ref="L61:L70" si="36">ABS(J61-K61)</f>
        <v>27.259999999999998</v>
      </c>
      <c r="M61" s="4">
        <f t="shared" ref="M61:M70" si="37">ABS(J61-K61)/K61</f>
        <v>0.33243902439024386</v>
      </c>
      <c r="N61" s="5">
        <f t="shared" ref="N61:N70" si="38">J61-K61</f>
        <v>-27.259999999999998</v>
      </c>
      <c r="O61" s="6">
        <v>1.1000000000000001</v>
      </c>
    </row>
    <row r="62" spans="1:15" ht="18" x14ac:dyDescent="0.3">
      <c r="A62" s="2">
        <v>2</v>
      </c>
      <c r="B62" s="2">
        <v>31.27</v>
      </c>
      <c r="C62" s="2">
        <v>41</v>
      </c>
      <c r="D62" s="3">
        <f t="shared" si="33"/>
        <v>9.73</v>
      </c>
      <c r="E62" s="4">
        <f t="shared" si="34"/>
        <v>0.23731707317073172</v>
      </c>
      <c r="F62" s="5">
        <f t="shared" si="35"/>
        <v>-9.73</v>
      </c>
      <c r="G62" s="2">
        <v>1.07</v>
      </c>
      <c r="I62" s="2">
        <v>2</v>
      </c>
      <c r="J62" s="2">
        <v>65.739999999999995</v>
      </c>
      <c r="K62" s="2">
        <v>82</v>
      </c>
      <c r="L62" s="3">
        <f t="shared" si="36"/>
        <v>16.260000000000005</v>
      </c>
      <c r="M62" s="4">
        <f t="shared" si="37"/>
        <v>0.19829268292682933</v>
      </c>
      <c r="N62" s="5">
        <f t="shared" si="38"/>
        <v>-16.260000000000005</v>
      </c>
      <c r="O62" s="2">
        <v>1.07</v>
      </c>
    </row>
    <row r="63" spans="1:15" ht="18" x14ac:dyDescent="0.3">
      <c r="A63" s="2">
        <v>3</v>
      </c>
      <c r="B63" s="6">
        <v>39.700000000000003</v>
      </c>
      <c r="C63" s="2">
        <v>42</v>
      </c>
      <c r="D63" s="3">
        <f t="shared" si="33"/>
        <v>2.2999999999999972</v>
      </c>
      <c r="E63" s="4">
        <f t="shared" si="34"/>
        <v>5.4761904761904692E-2</v>
      </c>
      <c r="F63" s="5">
        <f t="shared" si="35"/>
        <v>-2.2999999999999972</v>
      </c>
      <c r="G63" s="2">
        <v>1.04</v>
      </c>
      <c r="I63" s="2">
        <v>3</v>
      </c>
      <c r="J63" s="2">
        <v>81.180000000000007</v>
      </c>
      <c r="K63" s="2">
        <v>84</v>
      </c>
      <c r="L63" s="3">
        <f t="shared" si="36"/>
        <v>2.8199999999999932</v>
      </c>
      <c r="M63" s="4">
        <f t="shared" si="37"/>
        <v>3.3571428571428488E-2</v>
      </c>
      <c r="N63" s="5">
        <f t="shared" si="38"/>
        <v>-2.8199999999999932</v>
      </c>
      <c r="O63" s="2">
        <v>1.04</v>
      </c>
    </row>
    <row r="64" spans="1:15" ht="18" x14ac:dyDescent="0.3">
      <c r="A64" s="2">
        <v>4</v>
      </c>
      <c r="B64" s="2">
        <v>29.09</v>
      </c>
      <c r="C64" s="2">
        <v>41</v>
      </c>
      <c r="D64" s="3">
        <f t="shared" si="33"/>
        <v>11.91</v>
      </c>
      <c r="E64" s="4">
        <f t="shared" si="34"/>
        <v>0.29048780487804876</v>
      </c>
      <c r="F64" s="5">
        <f t="shared" si="35"/>
        <v>-11.91</v>
      </c>
      <c r="G64" s="6">
        <v>1.05</v>
      </c>
      <c r="I64" s="2">
        <v>4</v>
      </c>
      <c r="J64" s="2">
        <v>61.41</v>
      </c>
      <c r="K64" s="2">
        <v>82</v>
      </c>
      <c r="L64" s="3">
        <f t="shared" si="36"/>
        <v>20.590000000000003</v>
      </c>
      <c r="M64" s="4">
        <f t="shared" si="37"/>
        <v>0.25109756097560981</v>
      </c>
      <c r="N64" s="5">
        <f t="shared" si="38"/>
        <v>-20.590000000000003</v>
      </c>
      <c r="O64" s="6">
        <v>1.05</v>
      </c>
    </row>
    <row r="65" spans="1:15" ht="18" x14ac:dyDescent="0.3">
      <c r="A65" s="2">
        <v>5</v>
      </c>
      <c r="B65" s="2">
        <v>37.979999999999997</v>
      </c>
      <c r="C65" s="2">
        <v>40</v>
      </c>
      <c r="D65" s="3">
        <f t="shared" si="33"/>
        <v>2.0200000000000031</v>
      </c>
      <c r="E65" s="4">
        <f t="shared" si="34"/>
        <v>5.050000000000008E-2</v>
      </c>
      <c r="F65" s="5">
        <f t="shared" si="35"/>
        <v>-2.0200000000000031</v>
      </c>
      <c r="G65" s="2">
        <v>1.06</v>
      </c>
      <c r="I65" s="2">
        <v>5</v>
      </c>
      <c r="J65" s="2">
        <v>77.98</v>
      </c>
      <c r="K65" s="2">
        <v>80</v>
      </c>
      <c r="L65" s="3">
        <f t="shared" si="36"/>
        <v>2.019999999999996</v>
      </c>
      <c r="M65" s="4">
        <f t="shared" si="37"/>
        <v>2.524999999999995E-2</v>
      </c>
      <c r="N65" s="5">
        <f t="shared" si="38"/>
        <v>-2.019999999999996</v>
      </c>
      <c r="O65" s="2">
        <v>1.06</v>
      </c>
    </row>
    <row r="66" spans="1:15" ht="18" x14ac:dyDescent="0.3">
      <c r="A66" s="2">
        <v>6</v>
      </c>
      <c r="B66" s="2">
        <v>23.48</v>
      </c>
      <c r="C66" s="2">
        <v>41</v>
      </c>
      <c r="D66" s="3">
        <f t="shared" si="33"/>
        <v>17.52</v>
      </c>
      <c r="E66" s="4">
        <f t="shared" si="34"/>
        <v>0.4273170731707317</v>
      </c>
      <c r="F66" s="5">
        <f t="shared" si="35"/>
        <v>-17.52</v>
      </c>
      <c r="G66" s="6">
        <v>1.1000000000000001</v>
      </c>
      <c r="I66" s="2">
        <v>6</v>
      </c>
      <c r="J66" s="2">
        <v>47.25</v>
      </c>
      <c r="K66" s="2">
        <v>82</v>
      </c>
      <c r="L66" s="3">
        <f t="shared" si="36"/>
        <v>34.75</v>
      </c>
      <c r="M66" s="4">
        <f t="shared" si="37"/>
        <v>0.42378048780487804</v>
      </c>
      <c r="N66" s="5">
        <f t="shared" si="38"/>
        <v>-34.75</v>
      </c>
      <c r="O66" s="6">
        <v>1.01</v>
      </c>
    </row>
    <row r="67" spans="1:15" ht="18" x14ac:dyDescent="0.3">
      <c r="A67" s="2">
        <v>7</v>
      </c>
      <c r="B67" s="2">
        <v>39.25</v>
      </c>
      <c r="C67" s="2">
        <v>39</v>
      </c>
      <c r="D67" s="3">
        <f t="shared" si="33"/>
        <v>0.25</v>
      </c>
      <c r="E67" s="4">
        <f t="shared" si="34"/>
        <v>6.41025641025641E-3</v>
      </c>
      <c r="F67" s="5">
        <f t="shared" si="35"/>
        <v>0.25</v>
      </c>
      <c r="G67" s="6">
        <v>1.0900000000000001</v>
      </c>
      <c r="I67" s="2">
        <v>7</v>
      </c>
      <c r="J67" s="2">
        <v>79.69</v>
      </c>
      <c r="K67" s="2">
        <v>78</v>
      </c>
      <c r="L67" s="3">
        <f t="shared" si="36"/>
        <v>1.6899999999999977</v>
      </c>
      <c r="M67" s="4">
        <f t="shared" si="37"/>
        <v>2.1666666666666636E-2</v>
      </c>
      <c r="N67" s="5">
        <f t="shared" si="38"/>
        <v>1.6899999999999977</v>
      </c>
      <c r="O67" s="6">
        <v>1.0900000000000001</v>
      </c>
    </row>
    <row r="68" spans="1:15" ht="18" x14ac:dyDescent="0.3">
      <c r="A68" s="2">
        <v>8</v>
      </c>
      <c r="B68" s="2">
        <v>27.09</v>
      </c>
      <c r="C68" s="2">
        <v>41</v>
      </c>
      <c r="D68" s="3">
        <f t="shared" si="33"/>
        <v>13.91</v>
      </c>
      <c r="E68" s="4">
        <f t="shared" si="34"/>
        <v>0.33926829268292685</v>
      </c>
      <c r="F68" s="5">
        <f t="shared" si="35"/>
        <v>-13.91</v>
      </c>
      <c r="G68" s="2">
        <v>1.01</v>
      </c>
      <c r="I68" s="2">
        <v>8</v>
      </c>
      <c r="J68" s="2">
        <v>57.01</v>
      </c>
      <c r="K68" s="2">
        <v>82</v>
      </c>
      <c r="L68" s="3">
        <f t="shared" si="36"/>
        <v>24.990000000000002</v>
      </c>
      <c r="M68" s="4">
        <f t="shared" si="37"/>
        <v>0.30475609756097566</v>
      </c>
      <c r="N68" s="5">
        <f t="shared" si="38"/>
        <v>-24.990000000000002</v>
      </c>
      <c r="O68" s="2">
        <v>1.01</v>
      </c>
    </row>
    <row r="69" spans="1:15" ht="18" x14ac:dyDescent="0.3">
      <c r="A69" s="2">
        <v>9</v>
      </c>
      <c r="B69" s="2">
        <v>35.21</v>
      </c>
      <c r="C69" s="2">
        <v>41</v>
      </c>
      <c r="D69" s="3">
        <f t="shared" si="33"/>
        <v>5.7899999999999991</v>
      </c>
      <c r="E69" s="4">
        <f t="shared" si="34"/>
        <v>0.14121951219512194</v>
      </c>
      <c r="F69" s="5">
        <f t="shared" si="35"/>
        <v>-5.7899999999999991</v>
      </c>
      <c r="G69" s="2">
        <v>1.01</v>
      </c>
      <c r="I69" s="2">
        <v>9</v>
      </c>
      <c r="J69" s="6">
        <v>73.8</v>
      </c>
      <c r="K69" s="2">
        <v>82</v>
      </c>
      <c r="L69" s="3">
        <f t="shared" si="36"/>
        <v>8.2000000000000028</v>
      </c>
      <c r="M69" s="4">
        <f t="shared" si="37"/>
        <v>0.10000000000000003</v>
      </c>
      <c r="N69" s="5">
        <f t="shared" si="38"/>
        <v>-8.2000000000000028</v>
      </c>
      <c r="O69" s="2">
        <v>1.01</v>
      </c>
    </row>
    <row r="70" spans="1:15" ht="18" x14ac:dyDescent="0.3">
      <c r="A70" s="2">
        <v>10</v>
      </c>
      <c r="B70" s="6">
        <v>27.36</v>
      </c>
      <c r="C70" s="2">
        <v>40</v>
      </c>
      <c r="D70" s="3">
        <f t="shared" si="33"/>
        <v>12.64</v>
      </c>
      <c r="E70" s="4">
        <f t="shared" si="34"/>
        <v>0.316</v>
      </c>
      <c r="F70" s="5">
        <f t="shared" si="35"/>
        <v>-12.64</v>
      </c>
      <c r="G70" s="2">
        <v>1.03</v>
      </c>
      <c r="I70" s="2">
        <v>10</v>
      </c>
      <c r="J70" s="6">
        <v>55.3</v>
      </c>
      <c r="K70" s="2">
        <v>80</v>
      </c>
      <c r="L70" s="3">
        <f t="shared" si="36"/>
        <v>24.700000000000003</v>
      </c>
      <c r="M70" s="4">
        <f t="shared" si="37"/>
        <v>0.30875000000000002</v>
      </c>
      <c r="N70" s="5">
        <f t="shared" si="38"/>
        <v>-24.700000000000003</v>
      </c>
      <c r="O70" s="2">
        <v>1.03</v>
      </c>
    </row>
    <row r="71" spans="1:15" ht="18" x14ac:dyDescent="0.3">
      <c r="A71" s="7"/>
      <c r="B71" s="7"/>
      <c r="C71" s="7"/>
      <c r="D71" s="8" t="str">
        <f>ROUND(AVERAGE(D61:D70),3)&amp; "±" &amp;ROUND(_xlfn.STDEV.S(D61:D70),2)</f>
        <v>9.081±6.08</v>
      </c>
      <c r="E71" s="9" t="str">
        <f>TEXT(AVERAGE(E61:E70),"0.00%") &amp; "±" &amp; TEXT(_xlfn.STDEV.S(E61:E70),"0.00%")</f>
        <v>22.23%±14.87%</v>
      </c>
      <c r="F71" s="8" t="str">
        <f>ROUND(AVERAGE(F61:F70),3)&amp; "±" &amp;ROUND(_xlfn.STDEV.S(F61:F70),2)</f>
        <v>-9.031±6.16</v>
      </c>
      <c r="G71" s="8">
        <f>AVERAGE(G61:G70)</f>
        <v>1.0559999999999998</v>
      </c>
      <c r="I71" s="7"/>
      <c r="J71" s="7"/>
      <c r="K71" s="7"/>
      <c r="L71" s="8" t="str">
        <f>ROUND(AVERAGE(L61:L70),3)&amp; "±" &amp;ROUND(_xlfn.STDEV.S(L61:L70),2)</f>
        <v>16.328±11.97</v>
      </c>
      <c r="M71" s="9" t="str">
        <f>TEXT(AVERAGE(M61:M70),"0.00%") &amp; "±" &amp; TEXT(_xlfn.STDEV.S(M61:M70),"0.00%")</f>
        <v>20.00%±14.65%</v>
      </c>
      <c r="N71" s="8" t="str">
        <f>ROUND(AVERAGE(N61:N70),3)&amp; "±" &amp;ROUND(_xlfn.STDEV.S(N61:N70),2)</f>
        <v>-15.99±12.47</v>
      </c>
      <c r="O71" s="8">
        <f>AVERAGE(O61:O70)</f>
        <v>1.0469999999999999</v>
      </c>
    </row>
    <row r="72" spans="1:15" ht="18" x14ac:dyDescent="0.3">
      <c r="A72" s="7"/>
      <c r="B72" s="7"/>
      <c r="C72" s="7"/>
      <c r="D72" s="10"/>
      <c r="E72" s="11"/>
      <c r="F72" s="10"/>
      <c r="G72" s="10"/>
    </row>
    <row r="73" spans="1:15" ht="18" x14ac:dyDescent="0.3">
      <c r="A73" s="12" t="s">
        <v>14</v>
      </c>
      <c r="B73" s="12"/>
      <c r="C73" s="12"/>
      <c r="D73" s="12"/>
      <c r="E73" s="12"/>
      <c r="F73" s="12"/>
      <c r="G73" s="12"/>
      <c r="I73" s="15" t="s">
        <v>22</v>
      </c>
      <c r="J73" s="15"/>
      <c r="K73" s="15"/>
      <c r="L73" s="15"/>
      <c r="M73" s="15"/>
      <c r="N73" s="15"/>
      <c r="O73" s="15"/>
    </row>
    <row r="74" spans="1:15" ht="18" x14ac:dyDescent="0.3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  <c r="N74" s="1" t="s">
        <v>5</v>
      </c>
      <c r="O74" s="1" t="s">
        <v>6</v>
      </c>
    </row>
    <row r="75" spans="1:15" ht="18" x14ac:dyDescent="0.3">
      <c r="A75" s="2">
        <v>1</v>
      </c>
      <c r="B75" s="2">
        <v>66.05</v>
      </c>
      <c r="C75" s="2">
        <v>41</v>
      </c>
      <c r="D75" s="3">
        <f>ABS(B75-C75)</f>
        <v>25.049999999999997</v>
      </c>
      <c r="E75" s="4">
        <f>ABS(B75-C75)/C75</f>
        <v>0.61097560975609744</v>
      </c>
      <c r="F75" s="5">
        <f>B75-C75</f>
        <v>25.049999999999997</v>
      </c>
      <c r="G75" s="6">
        <v>3.32</v>
      </c>
      <c r="I75" s="2">
        <v>1</v>
      </c>
      <c r="J75" s="2">
        <v>130.63999999999999</v>
      </c>
      <c r="K75" s="2">
        <v>82</v>
      </c>
      <c r="L75" s="3">
        <f t="shared" ref="L75:L84" si="39">ABS(J75-K75)</f>
        <v>48.639999999999986</v>
      </c>
      <c r="M75" s="4">
        <f t="shared" ref="M75:M84" si="40">ABS(J75-K75)/K75</f>
        <v>0.59317073170731693</v>
      </c>
      <c r="N75" s="5">
        <f t="shared" ref="N75:N84" si="41">J75-K75</f>
        <v>48.639999999999986</v>
      </c>
      <c r="O75" s="2">
        <v>3.32</v>
      </c>
    </row>
    <row r="76" spans="1:15" ht="18" x14ac:dyDescent="0.3">
      <c r="A76" s="2">
        <v>2</v>
      </c>
      <c r="B76" s="2">
        <v>79.53</v>
      </c>
      <c r="C76" s="2">
        <v>41</v>
      </c>
      <c r="D76" s="3">
        <f>ABS(B76-C76)</f>
        <v>38.53</v>
      </c>
      <c r="E76" s="4">
        <f>ABS(B76-C76)/C76</f>
        <v>0.93975609756097567</v>
      </c>
      <c r="F76" s="5">
        <f>B76-C76</f>
        <v>38.53</v>
      </c>
      <c r="G76" s="2">
        <v>2.1800000000000002</v>
      </c>
      <c r="I76" s="2">
        <v>2</v>
      </c>
      <c r="J76" s="2">
        <v>158.37</v>
      </c>
      <c r="K76" s="2">
        <v>82</v>
      </c>
      <c r="L76" s="3">
        <f t="shared" si="39"/>
        <v>76.37</v>
      </c>
      <c r="M76" s="4">
        <f t="shared" si="40"/>
        <v>0.9313414634146342</v>
      </c>
      <c r="N76" s="5">
        <f t="shared" si="41"/>
        <v>76.37</v>
      </c>
      <c r="O76" s="2">
        <v>2.1800000000000002</v>
      </c>
    </row>
    <row r="77" spans="1:15" ht="18" x14ac:dyDescent="0.3">
      <c r="A77" s="2">
        <v>3</v>
      </c>
      <c r="B77" s="6">
        <v>85.16</v>
      </c>
      <c r="C77" s="2">
        <v>42</v>
      </c>
      <c r="D77" s="3">
        <f t="shared" ref="D77:D84" si="42">ABS(B77-C77)</f>
        <v>43.16</v>
      </c>
      <c r="E77" s="4">
        <f t="shared" ref="E77:E84" si="43">ABS(B77-C77)/C77</f>
        <v>1.0276190476190474</v>
      </c>
      <c r="F77" s="5">
        <f t="shared" ref="F77:F84" si="44">B77-C77</f>
        <v>43.16</v>
      </c>
      <c r="G77" s="2">
        <v>2.85</v>
      </c>
      <c r="I77" s="2">
        <v>3</v>
      </c>
      <c r="J77" s="2">
        <v>171.84</v>
      </c>
      <c r="K77" s="2">
        <v>84</v>
      </c>
      <c r="L77" s="3">
        <f t="shared" si="39"/>
        <v>87.84</v>
      </c>
      <c r="M77" s="4">
        <f t="shared" si="40"/>
        <v>1.0457142857142858</v>
      </c>
      <c r="N77" s="5">
        <f t="shared" si="41"/>
        <v>87.84</v>
      </c>
      <c r="O77" s="2">
        <v>2.85</v>
      </c>
    </row>
    <row r="78" spans="1:15" ht="18" x14ac:dyDescent="0.3">
      <c r="A78" s="2">
        <v>4</v>
      </c>
      <c r="B78" s="2">
        <v>67.17</v>
      </c>
      <c r="C78" s="2">
        <v>41</v>
      </c>
      <c r="D78" s="3">
        <f t="shared" si="42"/>
        <v>26.17</v>
      </c>
      <c r="E78" s="4">
        <f t="shared" si="43"/>
        <v>0.63829268292682928</v>
      </c>
      <c r="F78" s="5">
        <f t="shared" si="44"/>
        <v>26.17</v>
      </c>
      <c r="G78" s="6">
        <v>3.19</v>
      </c>
      <c r="I78" s="2">
        <v>4</v>
      </c>
      <c r="J78" s="2">
        <v>134.37</v>
      </c>
      <c r="K78" s="2">
        <v>82</v>
      </c>
      <c r="L78" s="3">
        <f t="shared" si="39"/>
        <v>52.370000000000005</v>
      </c>
      <c r="M78" s="4">
        <f t="shared" si="40"/>
        <v>0.63865853658536587</v>
      </c>
      <c r="N78" s="5">
        <f t="shared" si="41"/>
        <v>52.370000000000005</v>
      </c>
      <c r="O78" s="6">
        <v>3.19</v>
      </c>
    </row>
    <row r="79" spans="1:15" ht="18" x14ac:dyDescent="0.3">
      <c r="A79" s="2">
        <v>5</v>
      </c>
      <c r="B79" s="2">
        <v>53.06</v>
      </c>
      <c r="C79" s="2">
        <v>40</v>
      </c>
      <c r="D79" s="3">
        <f t="shared" si="42"/>
        <v>13.060000000000002</v>
      </c>
      <c r="E79" s="4">
        <f t="shared" si="43"/>
        <v>0.32650000000000007</v>
      </c>
      <c r="F79" s="5">
        <f t="shared" si="44"/>
        <v>13.060000000000002</v>
      </c>
      <c r="G79" s="2">
        <v>3.71</v>
      </c>
      <c r="I79" s="2">
        <v>5</v>
      </c>
      <c r="J79" s="2">
        <v>104.87</v>
      </c>
      <c r="K79" s="2">
        <v>80</v>
      </c>
      <c r="L79" s="3">
        <f t="shared" si="39"/>
        <v>24.870000000000005</v>
      </c>
      <c r="M79" s="4">
        <f t="shared" si="40"/>
        <v>0.31087500000000007</v>
      </c>
      <c r="N79" s="5">
        <f t="shared" si="41"/>
        <v>24.870000000000005</v>
      </c>
      <c r="O79" s="2">
        <v>3.72</v>
      </c>
    </row>
    <row r="80" spans="1:15" ht="18" x14ac:dyDescent="0.3">
      <c r="A80" s="2">
        <v>6</v>
      </c>
      <c r="B80" s="2">
        <v>50.23</v>
      </c>
      <c r="C80" s="2">
        <v>41</v>
      </c>
      <c r="D80" s="3">
        <f t="shared" si="42"/>
        <v>9.2299999999999969</v>
      </c>
      <c r="E80" s="4">
        <f t="shared" si="43"/>
        <v>0.22512195121951212</v>
      </c>
      <c r="F80" s="5">
        <f t="shared" si="44"/>
        <v>9.2299999999999969</v>
      </c>
      <c r="G80" s="6">
        <v>3.19</v>
      </c>
      <c r="I80" s="2">
        <v>6</v>
      </c>
      <c r="J80" s="2">
        <v>101.72</v>
      </c>
      <c r="K80" s="2">
        <v>82</v>
      </c>
      <c r="L80" s="3">
        <f t="shared" si="39"/>
        <v>19.72</v>
      </c>
      <c r="M80" s="4">
        <f t="shared" si="40"/>
        <v>0.24048780487804877</v>
      </c>
      <c r="N80" s="5">
        <f t="shared" si="41"/>
        <v>19.72</v>
      </c>
      <c r="O80" s="6">
        <v>3.19</v>
      </c>
    </row>
    <row r="81" spans="1:15" ht="18" x14ac:dyDescent="0.3">
      <c r="A81" s="2">
        <v>7</v>
      </c>
      <c r="B81" s="2">
        <v>67.73</v>
      </c>
      <c r="C81" s="2">
        <v>39</v>
      </c>
      <c r="D81" s="3">
        <f t="shared" si="42"/>
        <v>28.730000000000004</v>
      </c>
      <c r="E81" s="4">
        <f t="shared" si="43"/>
        <v>0.7366666666666668</v>
      </c>
      <c r="F81" s="5">
        <f t="shared" si="44"/>
        <v>28.730000000000004</v>
      </c>
      <c r="G81" s="6">
        <v>3.8</v>
      </c>
      <c r="I81" s="2">
        <v>7</v>
      </c>
      <c r="J81" s="2">
        <v>135.24</v>
      </c>
      <c r="K81" s="2">
        <v>78</v>
      </c>
      <c r="L81" s="3">
        <f t="shared" si="39"/>
        <v>57.240000000000009</v>
      </c>
      <c r="M81" s="4">
        <f t="shared" si="40"/>
        <v>0.73384615384615393</v>
      </c>
      <c r="N81" s="5">
        <f t="shared" si="41"/>
        <v>57.240000000000009</v>
      </c>
      <c r="O81" s="6">
        <v>3.8</v>
      </c>
    </row>
    <row r="82" spans="1:15" ht="18" x14ac:dyDescent="0.3">
      <c r="A82" s="2">
        <v>8</v>
      </c>
      <c r="B82" s="2">
        <v>58.36</v>
      </c>
      <c r="C82" s="2">
        <v>41</v>
      </c>
      <c r="D82" s="3">
        <f t="shared" si="42"/>
        <v>17.36</v>
      </c>
      <c r="E82" s="4">
        <f t="shared" si="43"/>
        <v>0.42341463414634145</v>
      </c>
      <c r="F82" s="5">
        <f t="shared" si="44"/>
        <v>17.36</v>
      </c>
      <c r="G82" s="2">
        <v>3.23</v>
      </c>
      <c r="I82" s="2">
        <v>8</v>
      </c>
      <c r="J82" s="2">
        <v>113.72</v>
      </c>
      <c r="K82" s="2">
        <v>82</v>
      </c>
      <c r="L82" s="3">
        <f t="shared" si="39"/>
        <v>31.72</v>
      </c>
      <c r="M82" s="4">
        <f t="shared" si="40"/>
        <v>0.38682926829268294</v>
      </c>
      <c r="N82" s="5">
        <f t="shared" si="41"/>
        <v>31.72</v>
      </c>
      <c r="O82" s="2">
        <v>3.23</v>
      </c>
    </row>
    <row r="83" spans="1:15" ht="18" x14ac:dyDescent="0.3">
      <c r="A83" s="2">
        <v>9</v>
      </c>
      <c r="B83" s="2">
        <v>65.209999999999994</v>
      </c>
      <c r="C83" s="2">
        <v>41</v>
      </c>
      <c r="D83" s="3">
        <f t="shared" si="42"/>
        <v>24.209999999999994</v>
      </c>
      <c r="E83" s="4">
        <f t="shared" si="43"/>
        <v>0.59048780487804864</v>
      </c>
      <c r="F83" s="5">
        <f t="shared" si="44"/>
        <v>24.209999999999994</v>
      </c>
      <c r="G83" s="2">
        <v>3.44</v>
      </c>
      <c r="I83" s="2">
        <v>9</v>
      </c>
      <c r="J83" s="2">
        <v>128.72999999999999</v>
      </c>
      <c r="K83" s="2">
        <v>82</v>
      </c>
      <c r="L83" s="3">
        <f t="shared" si="39"/>
        <v>46.72999999999999</v>
      </c>
      <c r="M83" s="4">
        <f t="shared" si="40"/>
        <v>0.56987804878048764</v>
      </c>
      <c r="N83" s="5">
        <f t="shared" si="41"/>
        <v>46.72999999999999</v>
      </c>
      <c r="O83" s="2">
        <v>3.44</v>
      </c>
    </row>
    <row r="84" spans="1:15" ht="18" x14ac:dyDescent="0.3">
      <c r="A84" s="2">
        <v>10</v>
      </c>
      <c r="B84" s="6">
        <v>65.7</v>
      </c>
      <c r="C84" s="2">
        <v>40</v>
      </c>
      <c r="D84" s="3">
        <f t="shared" si="42"/>
        <v>25.700000000000003</v>
      </c>
      <c r="E84" s="4">
        <f t="shared" si="43"/>
        <v>0.64250000000000007</v>
      </c>
      <c r="F84" s="5">
        <f t="shared" si="44"/>
        <v>25.700000000000003</v>
      </c>
      <c r="G84" s="2">
        <v>3.38</v>
      </c>
      <c r="I84" s="2">
        <v>10</v>
      </c>
      <c r="J84" s="6">
        <v>130.34</v>
      </c>
      <c r="K84" s="2">
        <v>80</v>
      </c>
      <c r="L84" s="3">
        <f t="shared" si="39"/>
        <v>50.34</v>
      </c>
      <c r="M84" s="4">
        <f t="shared" si="40"/>
        <v>0.62925000000000009</v>
      </c>
      <c r="N84" s="5">
        <f t="shared" si="41"/>
        <v>50.34</v>
      </c>
      <c r="O84" s="2">
        <v>3.38</v>
      </c>
    </row>
    <row r="85" spans="1:15" ht="18" x14ac:dyDescent="0.3">
      <c r="A85" s="7"/>
      <c r="B85" s="7"/>
      <c r="C85" s="7"/>
      <c r="D85" s="8" t="str">
        <f>ROUND(AVERAGE(D75:D84),3)&amp; "±" &amp;ROUND(_xlfn.STDEV.S(D75:D84),2)</f>
        <v>25.12±10.43</v>
      </c>
      <c r="E85" s="9" t="str">
        <f>TEXT(AVERAGE(E75:E84),"0.00%") &amp; "±" &amp; TEXT(_xlfn.STDEV.S(E75:E84),"0.00%")</f>
        <v>61.61%±25.04%</v>
      </c>
      <c r="F85" s="8" t="str">
        <f>ROUND(AVERAGE(F75:F84),3)&amp; "±" &amp;ROUND(_xlfn.STDEV.S(F75:F84),2)</f>
        <v>25.12±10.43</v>
      </c>
      <c r="G85" s="8">
        <f>AVERAGE(G75:G84)</f>
        <v>3.2290000000000005</v>
      </c>
      <c r="I85" s="7"/>
      <c r="J85" s="7"/>
      <c r="K85" s="7"/>
      <c r="L85" s="8" t="str">
        <f>ROUND(AVERAGE(L75:L84),3)&amp; "±" &amp;ROUND(_xlfn.STDEV.S(L75:L84),2)</f>
        <v>49.584±21.29</v>
      </c>
      <c r="M85" s="9" t="str">
        <f>TEXT(AVERAGE(M75:M84),"0.00%") &amp; "±" &amp; TEXT(_xlfn.STDEV.S(M75:M84),"0.00%")</f>
        <v>60.80%±25.55%</v>
      </c>
      <c r="N85" s="8" t="str">
        <f>ROUND(AVERAGE(N75:N84),3)&amp; "±" &amp;ROUND(_xlfn.STDEV.S(N75:N84),2)</f>
        <v>49.584±21.29</v>
      </c>
      <c r="O85" s="8">
        <f>AVERAGE(O75:O84)</f>
        <v>3.2300000000000004</v>
      </c>
    </row>
    <row r="86" spans="1:15" ht="18" x14ac:dyDescent="0.3">
      <c r="A86" s="7"/>
      <c r="B86" s="7"/>
      <c r="C86" s="7"/>
      <c r="D86" s="10"/>
      <c r="E86" s="11"/>
      <c r="F86" s="10"/>
      <c r="G86" s="10"/>
    </row>
    <row r="87" spans="1:15" ht="18" x14ac:dyDescent="0.3">
      <c r="A87" s="12" t="s">
        <v>12</v>
      </c>
      <c r="B87" s="12"/>
      <c r="C87" s="12"/>
      <c r="D87" s="12"/>
      <c r="E87" s="12"/>
      <c r="F87" s="12"/>
      <c r="G87" s="12"/>
      <c r="I87" s="15" t="s">
        <v>24</v>
      </c>
      <c r="J87" s="15"/>
      <c r="K87" s="15"/>
      <c r="L87" s="15"/>
      <c r="M87" s="15"/>
      <c r="N87" s="15"/>
      <c r="O87" s="15"/>
    </row>
    <row r="88" spans="1:15" ht="18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I88" s="1" t="s">
        <v>0</v>
      </c>
      <c r="J88" s="1" t="s">
        <v>1</v>
      </c>
      <c r="K88" s="1" t="s">
        <v>2</v>
      </c>
      <c r="L88" s="1" t="s">
        <v>3</v>
      </c>
      <c r="M88" s="1" t="s">
        <v>4</v>
      </c>
      <c r="N88" s="1" t="s">
        <v>5</v>
      </c>
      <c r="O88" s="1" t="s">
        <v>6</v>
      </c>
    </row>
    <row r="89" spans="1:15" ht="18" x14ac:dyDescent="0.3">
      <c r="A89" s="2">
        <v>1</v>
      </c>
      <c r="B89" s="2">
        <v>79</v>
      </c>
      <c r="C89" s="2">
        <v>177</v>
      </c>
      <c r="D89" s="3">
        <f t="shared" ref="D89:D98" si="45">ABS(B89-C89)</f>
        <v>98</v>
      </c>
      <c r="E89" s="4">
        <f t="shared" ref="E89:E98" si="46">ABS(B89-C89)/C89</f>
        <v>0.5536723163841808</v>
      </c>
      <c r="F89" s="5">
        <f t="shared" ref="F89:F98" si="47">B89-C89</f>
        <v>-98</v>
      </c>
      <c r="G89" s="6">
        <v>2.6</v>
      </c>
      <c r="I89" s="2">
        <v>1</v>
      </c>
      <c r="J89" s="2">
        <v>157.1</v>
      </c>
      <c r="K89" s="2">
        <v>354</v>
      </c>
      <c r="L89" s="3">
        <f t="shared" ref="L89:L98" si="48">ABS(J89-K89)</f>
        <v>196.9</v>
      </c>
      <c r="M89" s="4">
        <f t="shared" ref="M89:M98" si="49">ABS(J89-K89)/K89</f>
        <v>0.55621468926553674</v>
      </c>
      <c r="N89" s="5">
        <f t="shared" ref="N89:N98" si="50">J89-K89</f>
        <v>-196.9</v>
      </c>
      <c r="O89" s="2">
        <v>2.59</v>
      </c>
    </row>
    <row r="90" spans="1:15" ht="18" x14ac:dyDescent="0.3">
      <c r="A90" s="2">
        <v>2</v>
      </c>
      <c r="B90" s="2">
        <v>115.93</v>
      </c>
      <c r="C90" s="2">
        <v>183</v>
      </c>
      <c r="D90" s="3">
        <f t="shared" si="45"/>
        <v>67.069999999999993</v>
      </c>
      <c r="E90" s="4">
        <f t="shared" si="46"/>
        <v>0.36650273224043711</v>
      </c>
      <c r="F90" s="5">
        <f t="shared" si="47"/>
        <v>-67.069999999999993</v>
      </c>
      <c r="G90" s="2">
        <v>1.64</v>
      </c>
      <c r="I90" s="2">
        <v>2</v>
      </c>
      <c r="J90" s="2">
        <v>233.75</v>
      </c>
      <c r="K90" s="2">
        <v>366</v>
      </c>
      <c r="L90" s="3">
        <f t="shared" si="48"/>
        <v>132.25</v>
      </c>
      <c r="M90" s="4">
        <f t="shared" si="49"/>
        <v>0.36133879781420764</v>
      </c>
      <c r="N90" s="5">
        <f t="shared" si="50"/>
        <v>-132.25</v>
      </c>
      <c r="O90" s="2">
        <v>1.64</v>
      </c>
    </row>
    <row r="91" spans="1:15" ht="18" x14ac:dyDescent="0.3">
      <c r="A91" s="2">
        <v>3</v>
      </c>
      <c r="B91" s="6">
        <v>84.44</v>
      </c>
      <c r="C91" s="2">
        <v>175</v>
      </c>
      <c r="D91" s="3">
        <f t="shared" si="45"/>
        <v>90.56</v>
      </c>
      <c r="E91" s="4">
        <f t="shared" si="46"/>
        <v>0.51748571428571433</v>
      </c>
      <c r="F91" s="5">
        <f t="shared" si="47"/>
        <v>-90.56</v>
      </c>
      <c r="G91" s="2">
        <v>2.21</v>
      </c>
      <c r="I91" s="2">
        <v>3</v>
      </c>
      <c r="J91" s="2">
        <v>169.1</v>
      </c>
      <c r="K91" s="2">
        <v>350</v>
      </c>
      <c r="L91" s="3">
        <f t="shared" si="48"/>
        <v>180.9</v>
      </c>
      <c r="M91" s="4">
        <f t="shared" si="49"/>
        <v>0.5168571428571429</v>
      </c>
      <c r="N91" s="5">
        <f t="shared" si="50"/>
        <v>-180.9</v>
      </c>
      <c r="O91" s="2">
        <v>2.21</v>
      </c>
    </row>
    <row r="92" spans="1:15" ht="18" x14ac:dyDescent="0.3">
      <c r="A92" s="2">
        <v>4</v>
      </c>
      <c r="B92" s="2">
        <v>95.52</v>
      </c>
      <c r="C92" s="2">
        <v>175</v>
      </c>
      <c r="D92" s="3">
        <f t="shared" si="45"/>
        <v>79.48</v>
      </c>
      <c r="E92" s="4">
        <f t="shared" si="46"/>
        <v>0.45417142857142861</v>
      </c>
      <c r="F92" s="5">
        <f t="shared" si="47"/>
        <v>-79.48</v>
      </c>
      <c r="G92" s="6">
        <v>2.16</v>
      </c>
      <c r="I92" s="2">
        <v>4</v>
      </c>
      <c r="J92" s="2">
        <v>191.7</v>
      </c>
      <c r="K92" s="2">
        <v>350</v>
      </c>
      <c r="L92" s="3">
        <f t="shared" si="48"/>
        <v>158.30000000000001</v>
      </c>
      <c r="M92" s="4">
        <f t="shared" si="49"/>
        <v>0.45228571428571429</v>
      </c>
      <c r="N92" s="5">
        <f t="shared" si="50"/>
        <v>-158.30000000000001</v>
      </c>
      <c r="O92" s="6">
        <v>2.16</v>
      </c>
    </row>
    <row r="93" spans="1:15" ht="18" x14ac:dyDescent="0.3">
      <c r="A93" s="2">
        <v>5</v>
      </c>
      <c r="B93" s="2">
        <v>88.04</v>
      </c>
      <c r="C93" s="2">
        <v>180</v>
      </c>
      <c r="D93" s="3">
        <f t="shared" si="45"/>
        <v>91.96</v>
      </c>
      <c r="E93" s="4">
        <f t="shared" si="46"/>
        <v>0.51088888888888884</v>
      </c>
      <c r="F93" s="5">
        <f t="shared" si="47"/>
        <v>-91.96</v>
      </c>
      <c r="G93" s="2">
        <v>2.15</v>
      </c>
      <c r="I93" s="2">
        <v>5</v>
      </c>
      <c r="J93" s="2">
        <v>175.43</v>
      </c>
      <c r="K93" s="2">
        <v>360</v>
      </c>
      <c r="L93" s="3">
        <f t="shared" si="48"/>
        <v>184.57</v>
      </c>
      <c r="M93" s="4">
        <f t="shared" si="49"/>
        <v>0.51269444444444445</v>
      </c>
      <c r="N93" s="5">
        <f t="shared" si="50"/>
        <v>-184.57</v>
      </c>
      <c r="O93" s="2">
        <v>2.15</v>
      </c>
    </row>
    <row r="94" spans="1:15" ht="18" x14ac:dyDescent="0.3">
      <c r="A94" s="2">
        <v>6</v>
      </c>
      <c r="B94" s="2">
        <v>94.44</v>
      </c>
      <c r="C94" s="2">
        <v>177</v>
      </c>
      <c r="D94" s="3">
        <f t="shared" si="45"/>
        <v>82.56</v>
      </c>
      <c r="E94" s="4">
        <f t="shared" si="46"/>
        <v>0.46644067796610172</v>
      </c>
      <c r="F94" s="5">
        <f t="shared" si="47"/>
        <v>-82.56</v>
      </c>
      <c r="G94" s="6">
        <v>2.5099999999999998</v>
      </c>
      <c r="I94" s="2">
        <v>6</v>
      </c>
      <c r="J94" s="2">
        <v>188.92</v>
      </c>
      <c r="K94" s="2">
        <v>354</v>
      </c>
      <c r="L94" s="3">
        <f t="shared" si="48"/>
        <v>165.08</v>
      </c>
      <c r="M94" s="4">
        <f t="shared" si="49"/>
        <v>0.46632768361581922</v>
      </c>
      <c r="N94" s="5">
        <f t="shared" si="50"/>
        <v>-165.08</v>
      </c>
      <c r="O94" s="6">
        <v>2.5099999999999998</v>
      </c>
    </row>
    <row r="95" spans="1:15" ht="18" x14ac:dyDescent="0.3">
      <c r="A95" s="2">
        <v>7</v>
      </c>
      <c r="B95" s="2">
        <v>89.89</v>
      </c>
      <c r="C95" s="2">
        <v>172</v>
      </c>
      <c r="D95" s="3">
        <f t="shared" si="45"/>
        <v>82.11</v>
      </c>
      <c r="E95" s="4">
        <f t="shared" si="46"/>
        <v>0.47738372093023257</v>
      </c>
      <c r="F95" s="5">
        <f t="shared" si="47"/>
        <v>-82.11</v>
      </c>
      <c r="G95" s="6">
        <v>2.35</v>
      </c>
      <c r="I95" s="2">
        <v>7</v>
      </c>
      <c r="J95" s="2">
        <v>179.09</v>
      </c>
      <c r="K95" s="2">
        <v>344</v>
      </c>
      <c r="L95" s="3">
        <f t="shared" si="48"/>
        <v>164.91</v>
      </c>
      <c r="M95" s="4">
        <f t="shared" si="49"/>
        <v>0.47938953488372094</v>
      </c>
      <c r="N95" s="5">
        <f t="shared" si="50"/>
        <v>-164.91</v>
      </c>
      <c r="O95" s="6">
        <v>2.35</v>
      </c>
    </row>
    <row r="96" spans="1:15" ht="18" x14ac:dyDescent="0.3">
      <c r="A96" s="2">
        <v>8</v>
      </c>
      <c r="B96" s="2">
        <v>77.680000000000007</v>
      </c>
      <c r="C96" s="2">
        <v>180</v>
      </c>
      <c r="D96" s="3">
        <f t="shared" si="45"/>
        <v>102.32</v>
      </c>
      <c r="E96" s="4">
        <f t="shared" si="46"/>
        <v>0.56844444444444442</v>
      </c>
      <c r="F96" s="5">
        <f t="shared" si="47"/>
        <v>-102.32</v>
      </c>
      <c r="G96" s="2">
        <v>2.1800000000000002</v>
      </c>
      <c r="I96" s="2">
        <v>8</v>
      </c>
      <c r="J96" s="2">
        <v>155.41</v>
      </c>
      <c r="K96" s="2">
        <v>360</v>
      </c>
      <c r="L96" s="3">
        <f t="shared" si="48"/>
        <v>204.59</v>
      </c>
      <c r="M96" s="4">
        <f t="shared" si="49"/>
        <v>0.56830555555555562</v>
      </c>
      <c r="N96" s="5">
        <f t="shared" si="50"/>
        <v>-204.59</v>
      </c>
      <c r="O96" s="2">
        <v>2.1800000000000002</v>
      </c>
    </row>
    <row r="97" spans="1:15" ht="18" x14ac:dyDescent="0.3">
      <c r="A97" s="2">
        <v>9</v>
      </c>
      <c r="B97" s="2">
        <v>98.16</v>
      </c>
      <c r="C97" s="2">
        <v>186</v>
      </c>
      <c r="D97" s="3">
        <f t="shared" si="45"/>
        <v>87.84</v>
      </c>
      <c r="E97" s="4">
        <f t="shared" si="46"/>
        <v>0.47225806451612906</v>
      </c>
      <c r="F97" s="5">
        <f t="shared" si="47"/>
        <v>-87.84</v>
      </c>
      <c r="G97" s="2">
        <v>2.12</v>
      </c>
      <c r="I97" s="2">
        <v>9</v>
      </c>
      <c r="J97" s="2">
        <v>197.15</v>
      </c>
      <c r="K97" s="2">
        <v>372</v>
      </c>
      <c r="L97" s="3">
        <f t="shared" si="48"/>
        <v>174.85</v>
      </c>
      <c r="M97" s="4">
        <f t="shared" si="49"/>
        <v>0.47002688172043011</v>
      </c>
      <c r="N97" s="5">
        <f t="shared" si="50"/>
        <v>-174.85</v>
      </c>
      <c r="O97" s="2">
        <v>2.12</v>
      </c>
    </row>
    <row r="98" spans="1:15" ht="18" x14ac:dyDescent="0.3">
      <c r="A98" s="2">
        <v>10</v>
      </c>
      <c r="B98" s="6">
        <v>93.98</v>
      </c>
      <c r="C98" s="2">
        <v>176</v>
      </c>
      <c r="D98" s="3">
        <f t="shared" si="45"/>
        <v>82.02</v>
      </c>
      <c r="E98" s="4">
        <f t="shared" si="46"/>
        <v>0.46602272727272726</v>
      </c>
      <c r="F98" s="5">
        <f t="shared" si="47"/>
        <v>-82.02</v>
      </c>
      <c r="G98" s="2">
        <v>2.13</v>
      </c>
      <c r="I98" s="2">
        <v>10</v>
      </c>
      <c r="J98" s="6">
        <v>187.92</v>
      </c>
      <c r="K98" s="2">
        <v>352</v>
      </c>
      <c r="L98" s="3">
        <f t="shared" si="48"/>
        <v>164.08</v>
      </c>
      <c r="M98" s="4">
        <f t="shared" si="49"/>
        <v>0.46613636363636368</v>
      </c>
      <c r="N98" s="5">
        <f t="shared" si="50"/>
        <v>-164.08</v>
      </c>
      <c r="O98" s="2">
        <v>2.13</v>
      </c>
    </row>
    <row r="99" spans="1:15" ht="18" x14ac:dyDescent="0.3">
      <c r="A99" s="7"/>
      <c r="B99" s="7"/>
      <c r="C99" s="7"/>
      <c r="D99" s="8" t="str">
        <f>ROUND(AVERAGE(D89:D98),3)&amp; "±" &amp;ROUND(_xlfn.STDEV.S(D89:D98),2)</f>
        <v>86.392±10.07</v>
      </c>
      <c r="E99" s="9" t="str">
        <f>TEXT(AVERAGE(E89:E98),"0.00%") &amp; "±" &amp; TEXT(_xlfn.STDEV.S(E89:E98),"0.00%")</f>
        <v>48.53%±5.71%</v>
      </c>
      <c r="F99" s="8" t="str">
        <f>ROUND(AVERAGE(F89:F98),3)&amp; "±" &amp;ROUND(_xlfn.STDEV.S(F89:F98),2)</f>
        <v>-86.392±10.07</v>
      </c>
      <c r="G99" s="8">
        <f>AVERAGE(G89:G98)</f>
        <v>2.2050000000000001</v>
      </c>
      <c r="I99" s="7"/>
      <c r="J99" s="7"/>
      <c r="K99" s="7"/>
      <c r="L99" s="8" t="str">
        <f>ROUND(AVERAGE(L89:L98),3)&amp; "±" &amp;ROUND(_xlfn.STDEV.S(L89:L98),2)</f>
        <v>172.643±20.69</v>
      </c>
      <c r="M99" s="9" t="str">
        <f>TEXT(AVERAGE(M89:M98),"0.00%") &amp; "±" &amp; TEXT(_xlfn.STDEV.S(M89:M98),"0.00%")</f>
        <v>48.50%±5.88%</v>
      </c>
      <c r="N99" s="8" t="str">
        <f>ROUND(AVERAGE(N89:N98),3)&amp; "±" &amp;ROUND(_xlfn.STDEV.S(N89:N98),2)</f>
        <v>-172.643±20.69</v>
      </c>
      <c r="O99" s="8">
        <f>AVERAGE(O89:O98)</f>
        <v>2.2039999999999997</v>
      </c>
    </row>
    <row r="101" spans="1:15" ht="18" x14ac:dyDescent="0.3">
      <c r="A101" s="12" t="s">
        <v>11</v>
      </c>
      <c r="B101" s="12"/>
      <c r="C101" s="12"/>
      <c r="D101" s="12"/>
      <c r="E101" s="12"/>
      <c r="F101" s="12"/>
      <c r="G101" s="12"/>
      <c r="I101" s="15" t="s">
        <v>23</v>
      </c>
      <c r="J101" s="15"/>
      <c r="K101" s="15"/>
      <c r="L101" s="15"/>
      <c r="M101" s="15"/>
      <c r="N101" s="15"/>
      <c r="O101" s="15"/>
    </row>
    <row r="102" spans="1:15" ht="18" x14ac:dyDescent="0.3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I102" s="1" t="s">
        <v>0</v>
      </c>
      <c r="J102" s="1" t="s">
        <v>1</v>
      </c>
      <c r="K102" s="1" t="s">
        <v>2</v>
      </c>
      <c r="L102" s="1" t="s">
        <v>3</v>
      </c>
      <c r="M102" s="1" t="s">
        <v>4</v>
      </c>
      <c r="N102" s="1" t="s">
        <v>5</v>
      </c>
      <c r="O102" s="1" t="s">
        <v>6</v>
      </c>
    </row>
    <row r="103" spans="1:15" ht="18" x14ac:dyDescent="0.3">
      <c r="A103" s="2">
        <v>1</v>
      </c>
      <c r="B103" s="2">
        <v>193.26</v>
      </c>
      <c r="C103" s="2">
        <v>177</v>
      </c>
      <c r="D103" s="3">
        <f t="shared" ref="D103:D112" si="51">ABS(B103-C103)</f>
        <v>16.259999999999991</v>
      </c>
      <c r="E103" s="4">
        <f t="shared" ref="E103:E112" si="52">ABS(B103-C103)/C103</f>
        <v>9.186440677966097E-2</v>
      </c>
      <c r="F103" s="5">
        <f t="shared" ref="F103:F112" si="53">B103-C103</f>
        <v>16.259999999999991</v>
      </c>
      <c r="G103" s="6">
        <v>1.39</v>
      </c>
      <c r="I103" s="2">
        <v>1</v>
      </c>
      <c r="J103" s="2">
        <v>383.05</v>
      </c>
      <c r="K103" s="2">
        <v>354</v>
      </c>
      <c r="L103" s="3">
        <f t="shared" ref="L103:L112" si="54">ABS(J103-K103)</f>
        <v>29.050000000000011</v>
      </c>
      <c r="M103" s="4">
        <f t="shared" ref="M103:M112" si="55">ABS(J103-K103)/K103</f>
        <v>8.2062146892655397E-2</v>
      </c>
      <c r="N103" s="5">
        <f t="shared" ref="N103:N112" si="56">J103-K103</f>
        <v>29.050000000000011</v>
      </c>
      <c r="O103" s="2">
        <v>1.39</v>
      </c>
    </row>
    <row r="104" spans="1:15" ht="18" x14ac:dyDescent="0.3">
      <c r="A104" s="2">
        <v>2</v>
      </c>
      <c r="B104" s="2">
        <v>246.08</v>
      </c>
      <c r="C104" s="2">
        <v>183</v>
      </c>
      <c r="D104" s="3">
        <f t="shared" si="51"/>
        <v>63.080000000000013</v>
      </c>
      <c r="E104" s="4">
        <f t="shared" si="52"/>
        <v>0.34469945355191262</v>
      </c>
      <c r="F104" s="5">
        <f t="shared" si="53"/>
        <v>63.080000000000013</v>
      </c>
      <c r="G104" s="2">
        <v>1.65</v>
      </c>
      <c r="I104" s="2">
        <v>2</v>
      </c>
      <c r="J104" s="2">
        <v>495.03</v>
      </c>
      <c r="K104" s="2">
        <v>366</v>
      </c>
      <c r="L104" s="3">
        <f t="shared" si="54"/>
        <v>129.02999999999997</v>
      </c>
      <c r="M104" s="4">
        <f t="shared" si="55"/>
        <v>0.35254098360655728</v>
      </c>
      <c r="N104" s="5">
        <f t="shared" si="56"/>
        <v>129.02999999999997</v>
      </c>
      <c r="O104" s="2">
        <v>1.65</v>
      </c>
    </row>
    <row r="105" spans="1:15" ht="18" x14ac:dyDescent="0.3">
      <c r="A105" s="2">
        <v>3</v>
      </c>
      <c r="B105" s="6">
        <v>196.59</v>
      </c>
      <c r="C105" s="2">
        <v>175</v>
      </c>
      <c r="D105" s="3">
        <f t="shared" si="51"/>
        <v>21.590000000000003</v>
      </c>
      <c r="E105" s="4">
        <f t="shared" si="52"/>
        <v>0.12337142857142859</v>
      </c>
      <c r="F105" s="5">
        <f t="shared" si="53"/>
        <v>21.590000000000003</v>
      </c>
      <c r="G105" s="2">
        <v>1.41</v>
      </c>
      <c r="I105" s="2">
        <v>3</v>
      </c>
      <c r="J105" s="2">
        <v>395.92</v>
      </c>
      <c r="K105" s="2">
        <v>350</v>
      </c>
      <c r="L105" s="3">
        <f t="shared" si="54"/>
        <v>45.920000000000016</v>
      </c>
      <c r="M105" s="4">
        <f t="shared" si="55"/>
        <v>0.13120000000000004</v>
      </c>
      <c r="N105" s="5">
        <f t="shared" si="56"/>
        <v>45.920000000000016</v>
      </c>
      <c r="O105" s="2">
        <v>1.41</v>
      </c>
    </row>
    <row r="106" spans="1:15" ht="18" x14ac:dyDescent="0.3">
      <c r="A106" s="2">
        <v>4</v>
      </c>
      <c r="B106" s="2">
        <v>221.69</v>
      </c>
      <c r="C106" s="2">
        <v>175</v>
      </c>
      <c r="D106" s="3">
        <f t="shared" si="51"/>
        <v>46.69</v>
      </c>
      <c r="E106" s="4">
        <f t="shared" si="52"/>
        <v>0.26679999999999998</v>
      </c>
      <c r="F106" s="5">
        <f t="shared" si="53"/>
        <v>46.69</v>
      </c>
      <c r="G106" s="6">
        <v>1.33</v>
      </c>
      <c r="I106" s="2">
        <v>4</v>
      </c>
      <c r="J106" s="2">
        <v>443.94</v>
      </c>
      <c r="K106" s="2">
        <v>350</v>
      </c>
      <c r="L106" s="3">
        <f t="shared" si="54"/>
        <v>93.94</v>
      </c>
      <c r="M106" s="4">
        <f t="shared" si="55"/>
        <v>0.26839999999999997</v>
      </c>
      <c r="N106" s="5">
        <f t="shared" si="56"/>
        <v>93.94</v>
      </c>
      <c r="O106" s="6">
        <v>1.33</v>
      </c>
    </row>
    <row r="107" spans="1:15" ht="18" x14ac:dyDescent="0.3">
      <c r="A107" s="2">
        <v>5</v>
      </c>
      <c r="B107" s="2">
        <v>231.14</v>
      </c>
      <c r="C107" s="2">
        <v>180</v>
      </c>
      <c r="D107" s="3">
        <f t="shared" si="51"/>
        <v>51.139999999999986</v>
      </c>
      <c r="E107" s="4">
        <f t="shared" si="52"/>
        <v>0.28411111111111104</v>
      </c>
      <c r="F107" s="5">
        <f t="shared" si="53"/>
        <v>51.139999999999986</v>
      </c>
      <c r="G107" s="2">
        <v>1.44</v>
      </c>
      <c r="I107" s="2">
        <v>5</v>
      </c>
      <c r="J107" s="2">
        <v>461.19</v>
      </c>
      <c r="K107" s="2">
        <v>360</v>
      </c>
      <c r="L107" s="3">
        <f t="shared" si="54"/>
        <v>101.19</v>
      </c>
      <c r="M107" s="4">
        <f t="shared" si="55"/>
        <v>0.28108333333333335</v>
      </c>
      <c r="N107" s="5">
        <f t="shared" si="56"/>
        <v>101.19</v>
      </c>
      <c r="O107" s="2">
        <v>1.44</v>
      </c>
    </row>
    <row r="108" spans="1:15" ht="18" x14ac:dyDescent="0.3">
      <c r="A108" s="2">
        <v>6</v>
      </c>
      <c r="B108" s="2">
        <v>247.49</v>
      </c>
      <c r="C108" s="2">
        <v>177</v>
      </c>
      <c r="D108" s="3">
        <f t="shared" si="51"/>
        <v>70.490000000000009</v>
      </c>
      <c r="E108" s="4">
        <f t="shared" si="52"/>
        <v>0.39824858757062154</v>
      </c>
      <c r="F108" s="5">
        <f t="shared" si="53"/>
        <v>70.490000000000009</v>
      </c>
      <c r="G108" s="6">
        <v>1.42</v>
      </c>
      <c r="I108" s="2">
        <v>6</v>
      </c>
      <c r="J108" s="2">
        <v>494.49</v>
      </c>
      <c r="K108" s="2">
        <v>354</v>
      </c>
      <c r="L108" s="3">
        <f t="shared" si="54"/>
        <v>140.49</v>
      </c>
      <c r="M108" s="4">
        <f t="shared" si="55"/>
        <v>0.39686440677966106</v>
      </c>
      <c r="N108" s="5">
        <f t="shared" si="56"/>
        <v>140.49</v>
      </c>
      <c r="O108" s="6">
        <v>1.42</v>
      </c>
    </row>
    <row r="109" spans="1:15" ht="18" x14ac:dyDescent="0.3">
      <c r="A109" s="2">
        <v>7</v>
      </c>
      <c r="B109" s="2">
        <v>213.79</v>
      </c>
      <c r="C109" s="2">
        <v>172</v>
      </c>
      <c r="D109" s="3">
        <f t="shared" si="51"/>
        <v>41.789999999999992</v>
      </c>
      <c r="E109" s="4">
        <f t="shared" si="52"/>
        <v>0.24296511627906972</v>
      </c>
      <c r="F109" s="5">
        <f t="shared" si="53"/>
        <v>41.789999999999992</v>
      </c>
      <c r="G109" s="6">
        <v>1.58</v>
      </c>
      <c r="I109" s="2">
        <v>7</v>
      </c>
      <c r="J109" s="2">
        <v>427.92</v>
      </c>
      <c r="K109" s="2">
        <v>344</v>
      </c>
      <c r="L109" s="3">
        <f t="shared" si="54"/>
        <v>83.920000000000016</v>
      </c>
      <c r="M109" s="4">
        <f t="shared" si="55"/>
        <v>0.24395348837209307</v>
      </c>
      <c r="N109" s="5">
        <f t="shared" si="56"/>
        <v>83.920000000000016</v>
      </c>
      <c r="O109" s="6">
        <v>1.58</v>
      </c>
    </row>
    <row r="110" spans="1:15" ht="18" x14ac:dyDescent="0.3">
      <c r="A110" s="2">
        <v>8</v>
      </c>
      <c r="B110" s="2">
        <v>184.42</v>
      </c>
      <c r="C110" s="2">
        <v>180</v>
      </c>
      <c r="D110" s="3">
        <f t="shared" si="51"/>
        <v>4.4199999999999875</v>
      </c>
      <c r="E110" s="4">
        <f t="shared" si="52"/>
        <v>2.4555555555555487E-2</v>
      </c>
      <c r="F110" s="5">
        <f t="shared" si="53"/>
        <v>4.4199999999999875</v>
      </c>
      <c r="G110" s="2">
        <v>1.51</v>
      </c>
      <c r="I110" s="2">
        <v>8</v>
      </c>
      <c r="J110" s="2">
        <v>372.11</v>
      </c>
      <c r="K110" s="2">
        <v>360</v>
      </c>
      <c r="L110" s="3">
        <f t="shared" si="54"/>
        <v>12.110000000000014</v>
      </c>
      <c r="M110" s="4">
        <f t="shared" si="55"/>
        <v>3.3638888888888926E-2</v>
      </c>
      <c r="N110" s="5">
        <f t="shared" si="56"/>
        <v>12.110000000000014</v>
      </c>
      <c r="O110" s="2">
        <v>1.51</v>
      </c>
    </row>
    <row r="111" spans="1:15" ht="18" x14ac:dyDescent="0.3">
      <c r="A111" s="2">
        <v>9</v>
      </c>
      <c r="B111" s="6">
        <v>217.8</v>
      </c>
      <c r="C111" s="2">
        <v>186</v>
      </c>
      <c r="D111" s="3">
        <f t="shared" si="51"/>
        <v>31.800000000000011</v>
      </c>
      <c r="E111" s="4">
        <f t="shared" si="52"/>
        <v>0.17096774193548392</v>
      </c>
      <c r="F111" s="5">
        <f t="shared" si="53"/>
        <v>31.800000000000011</v>
      </c>
      <c r="G111" s="2">
        <v>1.78</v>
      </c>
      <c r="I111" s="2">
        <v>9</v>
      </c>
      <c r="J111" s="2">
        <v>431.85</v>
      </c>
      <c r="K111" s="2">
        <v>372</v>
      </c>
      <c r="L111" s="3">
        <f t="shared" si="54"/>
        <v>59.850000000000023</v>
      </c>
      <c r="M111" s="4">
        <f t="shared" si="55"/>
        <v>0.16088709677419361</v>
      </c>
      <c r="N111" s="5">
        <f t="shared" si="56"/>
        <v>59.850000000000023</v>
      </c>
      <c r="O111" s="2">
        <v>1.78</v>
      </c>
    </row>
    <row r="112" spans="1:15" ht="18" x14ac:dyDescent="0.3">
      <c r="A112" s="2">
        <v>10</v>
      </c>
      <c r="B112" s="6">
        <v>223.2</v>
      </c>
      <c r="C112" s="2">
        <v>176</v>
      </c>
      <c r="D112" s="3">
        <f t="shared" si="51"/>
        <v>47.199999999999989</v>
      </c>
      <c r="E112" s="4">
        <f t="shared" si="52"/>
        <v>0.26818181818181813</v>
      </c>
      <c r="F112" s="5">
        <f t="shared" si="53"/>
        <v>47.199999999999989</v>
      </c>
      <c r="G112" s="2">
        <v>1.51</v>
      </c>
      <c r="I112" s="2">
        <v>10</v>
      </c>
      <c r="J112" s="6">
        <v>447.53</v>
      </c>
      <c r="K112" s="2">
        <v>352</v>
      </c>
      <c r="L112" s="3">
        <f t="shared" si="54"/>
        <v>95.529999999999973</v>
      </c>
      <c r="M112" s="4">
        <f t="shared" si="55"/>
        <v>0.27139204545454537</v>
      </c>
      <c r="N112" s="5">
        <f t="shared" si="56"/>
        <v>95.529999999999973</v>
      </c>
      <c r="O112" s="2">
        <v>1.51</v>
      </c>
    </row>
    <row r="113" spans="1:15" ht="18" x14ac:dyDescent="0.3">
      <c r="A113" s="7"/>
      <c r="B113" s="7"/>
      <c r="C113" s="7"/>
      <c r="D113" s="8" t="str">
        <f>ROUND(AVERAGE(D103:D112),3)&amp; "±" &amp;ROUND(_xlfn.STDEV.S(D103:D112),2)</f>
        <v>39.446±20.87</v>
      </c>
      <c r="E113" s="9" t="str">
        <f>TEXT(AVERAGE(E103:E112),"0.00%") &amp; "±" &amp; TEXT(_xlfn.STDEV.S(E103:E112),"0.00%")</f>
        <v>22.16%±11.68%</v>
      </c>
      <c r="F113" s="8" t="str">
        <f>ROUND(AVERAGE(F103:F112),3)&amp; "±" &amp;ROUND(_xlfn.STDEV.S(F103:F112),2)</f>
        <v>39.446±20.87</v>
      </c>
      <c r="G113" s="8">
        <f>AVERAGE(G103:G112)</f>
        <v>1.502</v>
      </c>
      <c r="I113" s="7"/>
      <c r="J113" s="7"/>
      <c r="K113" s="7"/>
      <c r="L113" s="8" t="str">
        <f>ROUND(AVERAGE(L103:L112),3)&amp; "±" &amp;ROUND(_xlfn.STDEV.S(L103:L112),2)</f>
        <v>79.103±41.8</v>
      </c>
      <c r="M113" s="9" t="str">
        <f>TEXT(AVERAGE(M103:M112),"0.00%") &amp; "±" &amp; TEXT(_xlfn.STDEV.S(M103:M112),"0.00%")</f>
        <v>22.22%±11.70%</v>
      </c>
      <c r="N113" s="8" t="str">
        <f>ROUND(AVERAGE(N103:N112),3)&amp; "±" &amp;ROUND(_xlfn.STDEV.S(N103:N112),2)</f>
        <v>79.103±41.8</v>
      </c>
      <c r="O113" s="8">
        <f>AVERAGE(O103:O112)</f>
        <v>1.502</v>
      </c>
    </row>
  </sheetData>
  <mergeCells count="22">
    <mergeCell ref="I59:O59"/>
    <mergeCell ref="I73:O73"/>
    <mergeCell ref="I101:O101"/>
    <mergeCell ref="I87:O87"/>
    <mergeCell ref="Q1:W1"/>
    <mergeCell ref="Q3:W3"/>
    <mergeCell ref="Q17:W17"/>
    <mergeCell ref="Q31:W31"/>
    <mergeCell ref="A1:G1"/>
    <mergeCell ref="I1:O1"/>
    <mergeCell ref="I45:O45"/>
    <mergeCell ref="I31:O31"/>
    <mergeCell ref="I3:O3"/>
    <mergeCell ref="I17:O17"/>
    <mergeCell ref="A3:G3"/>
    <mergeCell ref="A17:G17"/>
    <mergeCell ref="A59:G59"/>
    <mergeCell ref="A45:G45"/>
    <mergeCell ref="A101:G101"/>
    <mergeCell ref="A87:G87"/>
    <mergeCell ref="A31:G31"/>
    <mergeCell ref="A73:G7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2026-01-01T14:55:40Z</dcterms:created>
  <dcterms:modified xsi:type="dcterms:W3CDTF">2026-01-03T09:31:01Z</dcterms:modified>
</cp:coreProperties>
</file>