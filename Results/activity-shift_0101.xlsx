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바탕 화면/Repitition-Counting-with_Minimal-Labels/"/>
    </mc:Choice>
  </mc:AlternateContent>
  <xr:revisionPtr revIDLastSave="505" documentId="8_{11A120AB-0796-4811-8A0E-6922D4E690BB}" xr6:coauthVersionLast="47" xr6:coauthVersionMax="47" xr10:uidLastSave="{8C5BB1C8-82E0-42EB-839F-C00F61165346}"/>
  <bookViews>
    <workbookView xWindow="6495" yWindow="2385" windowWidth="26955" windowHeight="16260" xr2:uid="{92778922-63A9-4B6D-A721-31D8D75B3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62" i="1" l="1"/>
  <c r="AK13" i="1"/>
  <c r="AS26" i="1"/>
  <c r="AT61" i="1"/>
  <c r="AS61" i="1"/>
  <c r="AR61" i="1"/>
  <c r="AT60" i="1"/>
  <c r="AS60" i="1"/>
  <c r="AR60" i="1"/>
  <c r="AT59" i="1"/>
  <c r="AS59" i="1"/>
  <c r="AR59" i="1"/>
  <c r="AT58" i="1"/>
  <c r="AS58" i="1"/>
  <c r="AR58" i="1"/>
  <c r="AT57" i="1"/>
  <c r="AS57" i="1"/>
  <c r="AR57" i="1"/>
  <c r="AT56" i="1"/>
  <c r="AS56" i="1"/>
  <c r="AR56" i="1"/>
  <c r="AT55" i="1"/>
  <c r="AS55" i="1"/>
  <c r="AR55" i="1"/>
  <c r="AT54" i="1"/>
  <c r="AS54" i="1"/>
  <c r="AR54" i="1"/>
  <c r="AT53" i="1"/>
  <c r="AS53" i="1"/>
  <c r="AR53" i="1"/>
  <c r="AT52" i="1"/>
  <c r="AS52" i="1"/>
  <c r="AR52" i="1"/>
  <c r="AU48" i="1"/>
  <c r="AT47" i="1"/>
  <c r="AS47" i="1"/>
  <c r="AR47" i="1"/>
  <c r="AT46" i="1"/>
  <c r="AS46" i="1"/>
  <c r="AR46" i="1"/>
  <c r="AT45" i="1"/>
  <c r="AS45" i="1"/>
  <c r="AR45" i="1"/>
  <c r="AT44" i="1"/>
  <c r="AS44" i="1"/>
  <c r="AR44" i="1"/>
  <c r="AT43" i="1"/>
  <c r="AS43" i="1"/>
  <c r="AR43" i="1"/>
  <c r="AT42" i="1"/>
  <c r="AS42" i="1"/>
  <c r="AR42" i="1"/>
  <c r="AT41" i="1"/>
  <c r="AS41" i="1"/>
  <c r="AR41" i="1"/>
  <c r="AT40" i="1"/>
  <c r="AS40" i="1"/>
  <c r="AR40" i="1"/>
  <c r="AT39" i="1"/>
  <c r="AS39" i="1"/>
  <c r="AR39" i="1"/>
  <c r="AT38" i="1"/>
  <c r="AS38" i="1"/>
  <c r="AR38" i="1"/>
  <c r="AM90" i="1"/>
  <c r="AL89" i="1"/>
  <c r="AK89" i="1"/>
  <c r="AJ89" i="1"/>
  <c r="AL88" i="1"/>
  <c r="AK88" i="1"/>
  <c r="AJ88" i="1"/>
  <c r="AL87" i="1"/>
  <c r="AK87" i="1"/>
  <c r="AJ87" i="1"/>
  <c r="AL86" i="1"/>
  <c r="AK86" i="1"/>
  <c r="AJ86" i="1"/>
  <c r="AL85" i="1"/>
  <c r="AK85" i="1"/>
  <c r="AJ85" i="1"/>
  <c r="AL84" i="1"/>
  <c r="AK84" i="1"/>
  <c r="AJ84" i="1"/>
  <c r="AL83" i="1"/>
  <c r="AK83" i="1"/>
  <c r="AJ83" i="1"/>
  <c r="AL82" i="1"/>
  <c r="AK82" i="1"/>
  <c r="AJ82" i="1"/>
  <c r="AL81" i="1"/>
  <c r="AK81" i="1"/>
  <c r="AJ81" i="1"/>
  <c r="AL80" i="1"/>
  <c r="AK80" i="1"/>
  <c r="AJ80" i="1"/>
  <c r="AM76" i="1"/>
  <c r="AL75" i="1"/>
  <c r="AK75" i="1"/>
  <c r="AJ75" i="1"/>
  <c r="AL74" i="1"/>
  <c r="AK74" i="1"/>
  <c r="AJ74" i="1"/>
  <c r="AL73" i="1"/>
  <c r="AK73" i="1"/>
  <c r="AJ73" i="1"/>
  <c r="AL72" i="1"/>
  <c r="AK72" i="1"/>
  <c r="AJ72" i="1"/>
  <c r="AL71" i="1"/>
  <c r="AK71" i="1"/>
  <c r="AJ71" i="1"/>
  <c r="AL70" i="1"/>
  <c r="AK70" i="1"/>
  <c r="AJ70" i="1"/>
  <c r="AL69" i="1"/>
  <c r="AK69" i="1"/>
  <c r="AJ69" i="1"/>
  <c r="AL68" i="1"/>
  <c r="AK68" i="1"/>
  <c r="AJ68" i="1"/>
  <c r="AL67" i="1"/>
  <c r="AK67" i="1"/>
  <c r="AJ67" i="1"/>
  <c r="AL66" i="1"/>
  <c r="AK66" i="1"/>
  <c r="AJ66" i="1"/>
  <c r="AM62" i="1"/>
  <c r="AL61" i="1"/>
  <c r="AK61" i="1"/>
  <c r="AJ61" i="1"/>
  <c r="AL60" i="1"/>
  <c r="AK60" i="1"/>
  <c r="AJ60" i="1"/>
  <c r="AL59" i="1"/>
  <c r="AK59" i="1"/>
  <c r="AJ59" i="1"/>
  <c r="AL58" i="1"/>
  <c r="AK58" i="1"/>
  <c r="AJ58" i="1"/>
  <c r="AL57" i="1"/>
  <c r="AK57" i="1"/>
  <c r="AJ57" i="1"/>
  <c r="AL56" i="1"/>
  <c r="AK56" i="1"/>
  <c r="AJ56" i="1"/>
  <c r="AL55" i="1"/>
  <c r="AK55" i="1"/>
  <c r="AJ55" i="1"/>
  <c r="AL54" i="1"/>
  <c r="AK54" i="1"/>
  <c r="AJ54" i="1"/>
  <c r="AL53" i="1"/>
  <c r="AK53" i="1"/>
  <c r="AJ53" i="1"/>
  <c r="AL52" i="1"/>
  <c r="AK52" i="1"/>
  <c r="AJ52" i="1"/>
  <c r="AM48" i="1"/>
  <c r="AL47" i="1"/>
  <c r="AK47" i="1"/>
  <c r="AJ47" i="1"/>
  <c r="AL46" i="1"/>
  <c r="AK46" i="1"/>
  <c r="AJ46" i="1"/>
  <c r="AL45" i="1"/>
  <c r="AK45" i="1"/>
  <c r="AJ45" i="1"/>
  <c r="AL44" i="1"/>
  <c r="AK44" i="1"/>
  <c r="AJ44" i="1"/>
  <c r="AL43" i="1"/>
  <c r="AK43" i="1"/>
  <c r="AJ43" i="1"/>
  <c r="AL42" i="1"/>
  <c r="AK42" i="1"/>
  <c r="AJ42" i="1"/>
  <c r="AL41" i="1"/>
  <c r="AK41" i="1"/>
  <c r="AJ41" i="1"/>
  <c r="AL40" i="1"/>
  <c r="AK40" i="1"/>
  <c r="AJ40" i="1"/>
  <c r="AL39" i="1"/>
  <c r="AK39" i="1"/>
  <c r="AJ39" i="1"/>
  <c r="AL38" i="1"/>
  <c r="AK38" i="1"/>
  <c r="AJ38" i="1"/>
  <c r="AM34" i="1"/>
  <c r="AL33" i="1"/>
  <c r="AK33" i="1"/>
  <c r="AJ33" i="1"/>
  <c r="AL32" i="1"/>
  <c r="AK32" i="1"/>
  <c r="AJ32" i="1"/>
  <c r="AL31" i="1"/>
  <c r="AK31" i="1"/>
  <c r="AJ31" i="1"/>
  <c r="AL30" i="1"/>
  <c r="AK30" i="1"/>
  <c r="AJ30" i="1"/>
  <c r="AL29" i="1"/>
  <c r="AK29" i="1"/>
  <c r="AJ29" i="1"/>
  <c r="AL28" i="1"/>
  <c r="AK28" i="1"/>
  <c r="AJ28" i="1"/>
  <c r="AL27" i="1"/>
  <c r="AK27" i="1"/>
  <c r="AJ27" i="1"/>
  <c r="AL26" i="1"/>
  <c r="AK26" i="1"/>
  <c r="AJ26" i="1"/>
  <c r="AL25" i="1"/>
  <c r="AK25" i="1"/>
  <c r="AJ25" i="1"/>
  <c r="AL24" i="1"/>
  <c r="AK24" i="1"/>
  <c r="AJ24" i="1"/>
  <c r="AM20" i="1"/>
  <c r="AL19" i="1"/>
  <c r="AK19" i="1"/>
  <c r="AJ19" i="1"/>
  <c r="AL18" i="1"/>
  <c r="AK18" i="1"/>
  <c r="AJ18" i="1"/>
  <c r="AL17" i="1"/>
  <c r="AK17" i="1"/>
  <c r="AJ17" i="1"/>
  <c r="AL16" i="1"/>
  <c r="AK16" i="1"/>
  <c r="AJ16" i="1"/>
  <c r="AL15" i="1"/>
  <c r="AK15" i="1"/>
  <c r="AJ15" i="1"/>
  <c r="AL14" i="1"/>
  <c r="AK14" i="1"/>
  <c r="AJ14" i="1"/>
  <c r="AL13" i="1"/>
  <c r="AJ13" i="1"/>
  <c r="AL12" i="1"/>
  <c r="AK12" i="1"/>
  <c r="AJ12" i="1"/>
  <c r="AL11" i="1"/>
  <c r="AK11" i="1"/>
  <c r="AJ11" i="1"/>
  <c r="AL10" i="1"/>
  <c r="AK10" i="1"/>
  <c r="AJ10" i="1"/>
  <c r="AU34" i="1"/>
  <c r="AT33" i="1"/>
  <c r="AS33" i="1"/>
  <c r="AR33" i="1"/>
  <c r="AT32" i="1"/>
  <c r="AS32" i="1"/>
  <c r="AR32" i="1"/>
  <c r="AT31" i="1"/>
  <c r="AS31" i="1"/>
  <c r="AR31" i="1"/>
  <c r="AT30" i="1"/>
  <c r="AS30" i="1"/>
  <c r="AR30" i="1"/>
  <c r="AT29" i="1"/>
  <c r="AS29" i="1"/>
  <c r="AR29" i="1"/>
  <c r="AT28" i="1"/>
  <c r="AS28" i="1"/>
  <c r="AR28" i="1"/>
  <c r="AT27" i="1"/>
  <c r="AS27" i="1"/>
  <c r="AR27" i="1"/>
  <c r="AT26" i="1"/>
  <c r="AR26" i="1"/>
  <c r="AT25" i="1"/>
  <c r="AS25" i="1"/>
  <c r="AR25" i="1"/>
  <c r="AT24" i="1"/>
  <c r="AS24" i="1"/>
  <c r="AR24" i="1"/>
  <c r="AU20" i="1"/>
  <c r="AT19" i="1"/>
  <c r="AS19" i="1"/>
  <c r="AR19" i="1"/>
  <c r="AT18" i="1"/>
  <c r="AS18" i="1"/>
  <c r="AR18" i="1"/>
  <c r="AT17" i="1"/>
  <c r="AS17" i="1"/>
  <c r="AR17" i="1"/>
  <c r="AT16" i="1"/>
  <c r="AS16" i="1"/>
  <c r="AR16" i="1"/>
  <c r="AT15" i="1"/>
  <c r="AS15" i="1"/>
  <c r="AR15" i="1"/>
  <c r="AT14" i="1"/>
  <c r="AS14" i="1"/>
  <c r="AR14" i="1"/>
  <c r="AT13" i="1"/>
  <c r="AS13" i="1"/>
  <c r="AR13" i="1"/>
  <c r="AT12" i="1"/>
  <c r="AS12" i="1"/>
  <c r="AR12" i="1"/>
  <c r="AT11" i="1"/>
  <c r="AS11" i="1"/>
  <c r="AR11" i="1"/>
  <c r="AT10" i="1"/>
  <c r="AS10" i="1"/>
  <c r="AR10" i="1"/>
  <c r="AE90" i="1"/>
  <c r="AD89" i="1"/>
  <c r="AC89" i="1"/>
  <c r="AB89" i="1"/>
  <c r="AD88" i="1"/>
  <c r="AC88" i="1"/>
  <c r="AB88" i="1"/>
  <c r="AD87" i="1"/>
  <c r="AC87" i="1"/>
  <c r="AB87" i="1"/>
  <c r="AD86" i="1"/>
  <c r="AC86" i="1"/>
  <c r="AB86" i="1"/>
  <c r="AD85" i="1"/>
  <c r="AC85" i="1"/>
  <c r="AB85" i="1"/>
  <c r="AD84" i="1"/>
  <c r="AC84" i="1"/>
  <c r="AB84" i="1"/>
  <c r="AD83" i="1"/>
  <c r="AC83" i="1"/>
  <c r="AB83" i="1"/>
  <c r="AD82" i="1"/>
  <c r="AC82" i="1"/>
  <c r="AB82" i="1"/>
  <c r="AD81" i="1"/>
  <c r="AC81" i="1"/>
  <c r="AB81" i="1"/>
  <c r="AD80" i="1"/>
  <c r="AC80" i="1"/>
  <c r="AB80" i="1"/>
  <c r="AE76" i="1"/>
  <c r="AD75" i="1"/>
  <c r="AC75" i="1"/>
  <c r="AB75" i="1"/>
  <c r="AD74" i="1"/>
  <c r="AC74" i="1"/>
  <c r="AB74" i="1"/>
  <c r="AD73" i="1"/>
  <c r="AC73" i="1"/>
  <c r="AB73" i="1"/>
  <c r="AD72" i="1"/>
  <c r="AC72" i="1"/>
  <c r="AB72" i="1"/>
  <c r="AD71" i="1"/>
  <c r="AC71" i="1"/>
  <c r="AB71" i="1"/>
  <c r="AD70" i="1"/>
  <c r="AC70" i="1"/>
  <c r="AB70" i="1"/>
  <c r="AD69" i="1"/>
  <c r="AC69" i="1"/>
  <c r="AB69" i="1"/>
  <c r="AD68" i="1"/>
  <c r="AC68" i="1"/>
  <c r="AB68" i="1"/>
  <c r="AD67" i="1"/>
  <c r="AC67" i="1"/>
  <c r="AB67" i="1"/>
  <c r="AD66" i="1"/>
  <c r="AC66" i="1"/>
  <c r="AB66" i="1"/>
  <c r="AE62" i="1"/>
  <c r="AD61" i="1"/>
  <c r="AC61" i="1"/>
  <c r="AB61" i="1"/>
  <c r="AD60" i="1"/>
  <c r="AC60" i="1"/>
  <c r="AB60" i="1"/>
  <c r="AD59" i="1"/>
  <c r="AC59" i="1"/>
  <c r="AB59" i="1"/>
  <c r="AD58" i="1"/>
  <c r="AC58" i="1"/>
  <c r="AB58" i="1"/>
  <c r="AD57" i="1"/>
  <c r="AC57" i="1"/>
  <c r="AB57" i="1"/>
  <c r="AD56" i="1"/>
  <c r="AC56" i="1"/>
  <c r="AB56" i="1"/>
  <c r="AD55" i="1"/>
  <c r="AC55" i="1"/>
  <c r="AB55" i="1"/>
  <c r="AD54" i="1"/>
  <c r="AC54" i="1"/>
  <c r="AB54" i="1"/>
  <c r="AD53" i="1"/>
  <c r="AC53" i="1"/>
  <c r="AB53" i="1"/>
  <c r="AD52" i="1"/>
  <c r="AC52" i="1"/>
  <c r="AB52" i="1"/>
  <c r="AE48" i="1"/>
  <c r="AD47" i="1"/>
  <c r="AC47" i="1"/>
  <c r="AB47" i="1"/>
  <c r="AD46" i="1"/>
  <c r="AC46" i="1"/>
  <c r="AB46" i="1"/>
  <c r="AD45" i="1"/>
  <c r="AC45" i="1"/>
  <c r="AB45" i="1"/>
  <c r="AD44" i="1"/>
  <c r="AC44" i="1"/>
  <c r="AB44" i="1"/>
  <c r="AD43" i="1"/>
  <c r="AC43" i="1"/>
  <c r="AB43" i="1"/>
  <c r="AD42" i="1"/>
  <c r="AC42" i="1"/>
  <c r="AB42" i="1"/>
  <c r="AD41" i="1"/>
  <c r="AC41" i="1"/>
  <c r="AB41" i="1"/>
  <c r="AD40" i="1"/>
  <c r="AC40" i="1"/>
  <c r="AB40" i="1"/>
  <c r="AD39" i="1"/>
  <c r="AC39" i="1"/>
  <c r="AB39" i="1"/>
  <c r="AD38" i="1"/>
  <c r="AC38" i="1"/>
  <c r="AB38" i="1"/>
  <c r="AE34" i="1"/>
  <c r="AD33" i="1"/>
  <c r="AC33" i="1"/>
  <c r="AB33" i="1"/>
  <c r="AD32" i="1"/>
  <c r="AC32" i="1"/>
  <c r="AB32" i="1"/>
  <c r="AD31" i="1"/>
  <c r="AC31" i="1"/>
  <c r="AB31" i="1"/>
  <c r="AD30" i="1"/>
  <c r="AC30" i="1"/>
  <c r="AB30" i="1"/>
  <c r="AD29" i="1"/>
  <c r="AC29" i="1"/>
  <c r="AB29" i="1"/>
  <c r="AD28" i="1"/>
  <c r="AC28" i="1"/>
  <c r="AB28" i="1"/>
  <c r="AD27" i="1"/>
  <c r="AC27" i="1"/>
  <c r="AB27" i="1"/>
  <c r="AD26" i="1"/>
  <c r="AC26" i="1"/>
  <c r="AB26" i="1"/>
  <c r="AD25" i="1"/>
  <c r="AC25" i="1"/>
  <c r="AB25" i="1"/>
  <c r="AD24" i="1"/>
  <c r="AC24" i="1"/>
  <c r="AB24" i="1"/>
  <c r="AE20" i="1"/>
  <c r="AD19" i="1"/>
  <c r="AC19" i="1"/>
  <c r="AB19" i="1"/>
  <c r="AD18" i="1"/>
  <c r="AC18" i="1"/>
  <c r="AB18" i="1"/>
  <c r="AD17" i="1"/>
  <c r="AC17" i="1"/>
  <c r="AB17" i="1"/>
  <c r="AD16" i="1"/>
  <c r="AC16" i="1"/>
  <c r="AB16" i="1"/>
  <c r="AD15" i="1"/>
  <c r="AC15" i="1"/>
  <c r="AB15" i="1"/>
  <c r="AD14" i="1"/>
  <c r="AC14" i="1"/>
  <c r="AB14" i="1"/>
  <c r="AD13" i="1"/>
  <c r="AC13" i="1"/>
  <c r="AB13" i="1"/>
  <c r="AD12" i="1"/>
  <c r="AC12" i="1"/>
  <c r="AB12" i="1"/>
  <c r="AD11" i="1"/>
  <c r="AC11" i="1"/>
  <c r="AB11" i="1"/>
  <c r="AD10" i="1"/>
  <c r="AC10" i="1"/>
  <c r="AB10" i="1"/>
  <c r="V33" i="1"/>
  <c r="V32" i="1"/>
  <c r="V31" i="1"/>
  <c r="V30" i="1"/>
  <c r="V29" i="1"/>
  <c r="V28" i="1"/>
  <c r="V27" i="1"/>
  <c r="V26" i="1"/>
  <c r="V25" i="1"/>
  <c r="V24" i="1"/>
  <c r="V19" i="1"/>
  <c r="V18" i="1"/>
  <c r="V17" i="1"/>
  <c r="V16" i="1"/>
  <c r="V15" i="1"/>
  <c r="V14" i="1"/>
  <c r="V13" i="1"/>
  <c r="V12" i="1"/>
  <c r="V11" i="1"/>
  <c r="V10" i="1"/>
  <c r="U33" i="1"/>
  <c r="U32" i="1"/>
  <c r="U31" i="1"/>
  <c r="U30" i="1"/>
  <c r="U29" i="1"/>
  <c r="U28" i="1"/>
  <c r="U27" i="1"/>
  <c r="U26" i="1"/>
  <c r="U25" i="1"/>
  <c r="U24" i="1"/>
  <c r="U19" i="1"/>
  <c r="U18" i="1"/>
  <c r="U17" i="1"/>
  <c r="U16" i="1"/>
  <c r="U15" i="1"/>
  <c r="U14" i="1"/>
  <c r="U13" i="1"/>
  <c r="U12" i="1"/>
  <c r="U11" i="1"/>
  <c r="U10" i="1"/>
  <c r="W34" i="1"/>
  <c r="W20" i="1"/>
  <c r="T33" i="1"/>
  <c r="T19" i="1"/>
  <c r="T32" i="1"/>
  <c r="T18" i="1"/>
  <c r="T31" i="1"/>
  <c r="T17" i="1"/>
  <c r="T30" i="1"/>
  <c r="T16" i="1"/>
  <c r="T29" i="1"/>
  <c r="T15" i="1"/>
  <c r="T28" i="1"/>
  <c r="T14" i="1"/>
  <c r="T27" i="1"/>
  <c r="T13" i="1"/>
  <c r="T26" i="1"/>
  <c r="T12" i="1"/>
  <c r="T25" i="1"/>
  <c r="T11" i="1"/>
  <c r="T24" i="1"/>
  <c r="T10" i="1"/>
  <c r="N89" i="1"/>
  <c r="N88" i="1"/>
  <c r="N87" i="1"/>
  <c r="N86" i="1"/>
  <c r="N85" i="1"/>
  <c r="N84" i="1"/>
  <c r="N83" i="1"/>
  <c r="N82" i="1"/>
  <c r="N81" i="1"/>
  <c r="N80" i="1"/>
  <c r="N75" i="1"/>
  <c r="N74" i="1"/>
  <c r="N73" i="1"/>
  <c r="N72" i="1"/>
  <c r="N71" i="1"/>
  <c r="N70" i="1"/>
  <c r="N69" i="1"/>
  <c r="N68" i="1"/>
  <c r="N67" i="1"/>
  <c r="N66" i="1"/>
  <c r="N61" i="1"/>
  <c r="N60" i="1"/>
  <c r="N59" i="1"/>
  <c r="N58" i="1"/>
  <c r="N57" i="1"/>
  <c r="N56" i="1"/>
  <c r="N55" i="1"/>
  <c r="N54" i="1"/>
  <c r="N53" i="1"/>
  <c r="N52" i="1"/>
  <c r="M89" i="1"/>
  <c r="M88" i="1"/>
  <c r="M87" i="1"/>
  <c r="M86" i="1"/>
  <c r="M85" i="1"/>
  <c r="M84" i="1"/>
  <c r="M83" i="1"/>
  <c r="M82" i="1"/>
  <c r="M81" i="1"/>
  <c r="M80" i="1"/>
  <c r="M75" i="1"/>
  <c r="M74" i="1"/>
  <c r="M73" i="1"/>
  <c r="M72" i="1"/>
  <c r="M71" i="1"/>
  <c r="M70" i="1"/>
  <c r="M69" i="1"/>
  <c r="M68" i="1"/>
  <c r="M67" i="1"/>
  <c r="M66" i="1"/>
  <c r="M61" i="1"/>
  <c r="M60" i="1"/>
  <c r="M59" i="1"/>
  <c r="M58" i="1"/>
  <c r="M57" i="1"/>
  <c r="M56" i="1"/>
  <c r="M55" i="1"/>
  <c r="M54" i="1"/>
  <c r="M53" i="1"/>
  <c r="M52" i="1"/>
  <c r="N47" i="1"/>
  <c r="N46" i="1"/>
  <c r="N45" i="1"/>
  <c r="N44" i="1"/>
  <c r="N43" i="1"/>
  <c r="N42" i="1"/>
  <c r="N41" i="1"/>
  <c r="N40" i="1"/>
  <c r="N39" i="1"/>
  <c r="N38" i="1"/>
  <c r="N33" i="1"/>
  <c r="N32" i="1"/>
  <c r="N31" i="1"/>
  <c r="N30" i="1"/>
  <c r="N29" i="1"/>
  <c r="N28" i="1"/>
  <c r="N27" i="1"/>
  <c r="N26" i="1"/>
  <c r="N25" i="1"/>
  <c r="N24" i="1"/>
  <c r="N19" i="1"/>
  <c r="N18" i="1"/>
  <c r="N17" i="1"/>
  <c r="N16" i="1"/>
  <c r="N15" i="1"/>
  <c r="N14" i="1"/>
  <c r="N13" i="1"/>
  <c r="N12" i="1"/>
  <c r="N11" i="1"/>
  <c r="N10" i="1"/>
  <c r="M47" i="1"/>
  <c r="M46" i="1"/>
  <c r="M45" i="1"/>
  <c r="M44" i="1"/>
  <c r="M43" i="1"/>
  <c r="M42" i="1"/>
  <c r="M41" i="1"/>
  <c r="M40" i="1"/>
  <c r="M39" i="1"/>
  <c r="M38" i="1"/>
  <c r="M33" i="1"/>
  <c r="M32" i="1"/>
  <c r="M31" i="1"/>
  <c r="M30" i="1"/>
  <c r="M29" i="1"/>
  <c r="M28" i="1"/>
  <c r="M27" i="1"/>
  <c r="M26" i="1"/>
  <c r="M25" i="1"/>
  <c r="M24" i="1"/>
  <c r="M19" i="1"/>
  <c r="M18" i="1"/>
  <c r="M17" i="1"/>
  <c r="M16" i="1"/>
  <c r="M15" i="1"/>
  <c r="M14" i="1"/>
  <c r="M13" i="1"/>
  <c r="M12" i="1"/>
  <c r="M11" i="1"/>
  <c r="M10" i="1"/>
  <c r="O90" i="1"/>
  <c r="O48" i="1"/>
  <c r="L89" i="1"/>
  <c r="L47" i="1"/>
  <c r="L88" i="1"/>
  <c r="L46" i="1"/>
  <c r="L87" i="1"/>
  <c r="L45" i="1"/>
  <c r="L86" i="1"/>
  <c r="L44" i="1"/>
  <c r="L85" i="1"/>
  <c r="L43" i="1"/>
  <c r="L84" i="1"/>
  <c r="L42" i="1"/>
  <c r="L83" i="1"/>
  <c r="L41" i="1"/>
  <c r="L82" i="1"/>
  <c r="L40" i="1"/>
  <c r="L81" i="1"/>
  <c r="L39" i="1"/>
  <c r="L80" i="1"/>
  <c r="L38" i="1"/>
  <c r="O76" i="1"/>
  <c r="O34" i="1"/>
  <c r="L75" i="1"/>
  <c r="L33" i="1"/>
  <c r="L74" i="1"/>
  <c r="L32" i="1"/>
  <c r="L73" i="1"/>
  <c r="L31" i="1"/>
  <c r="L72" i="1"/>
  <c r="L30" i="1"/>
  <c r="L71" i="1"/>
  <c r="L29" i="1"/>
  <c r="L70" i="1"/>
  <c r="L28" i="1"/>
  <c r="L69" i="1"/>
  <c r="L27" i="1"/>
  <c r="L68" i="1"/>
  <c r="L26" i="1"/>
  <c r="L67" i="1"/>
  <c r="L25" i="1"/>
  <c r="L66" i="1"/>
  <c r="L24" i="1"/>
  <c r="O62" i="1"/>
  <c r="O20" i="1"/>
  <c r="L61" i="1"/>
  <c r="L19" i="1"/>
  <c r="L60" i="1"/>
  <c r="L18" i="1"/>
  <c r="L59" i="1"/>
  <c r="L17" i="1"/>
  <c r="L58" i="1"/>
  <c r="L16" i="1"/>
  <c r="L57" i="1"/>
  <c r="L15" i="1"/>
  <c r="L56" i="1"/>
  <c r="L14" i="1"/>
  <c r="L55" i="1"/>
  <c r="L13" i="1"/>
  <c r="L54" i="1"/>
  <c r="L12" i="1"/>
  <c r="L53" i="1"/>
  <c r="L11" i="1"/>
  <c r="L52" i="1"/>
  <c r="L10" i="1"/>
  <c r="F89" i="1"/>
  <c r="F88" i="1"/>
  <c r="F87" i="1"/>
  <c r="F86" i="1"/>
  <c r="F85" i="1"/>
  <c r="F84" i="1"/>
  <c r="F83" i="1"/>
  <c r="F82" i="1"/>
  <c r="F81" i="1"/>
  <c r="F80" i="1"/>
  <c r="F75" i="1"/>
  <c r="F74" i="1"/>
  <c r="F73" i="1"/>
  <c r="F72" i="1"/>
  <c r="F71" i="1"/>
  <c r="F70" i="1"/>
  <c r="F69" i="1"/>
  <c r="F68" i="1"/>
  <c r="F67" i="1"/>
  <c r="F66" i="1"/>
  <c r="F61" i="1"/>
  <c r="F60" i="1"/>
  <c r="F59" i="1"/>
  <c r="F58" i="1"/>
  <c r="F57" i="1"/>
  <c r="F56" i="1"/>
  <c r="F55" i="1"/>
  <c r="F54" i="1"/>
  <c r="F53" i="1"/>
  <c r="F52" i="1"/>
  <c r="E89" i="1"/>
  <c r="E88" i="1"/>
  <c r="E87" i="1"/>
  <c r="E86" i="1"/>
  <c r="E85" i="1"/>
  <c r="E84" i="1"/>
  <c r="E83" i="1"/>
  <c r="E82" i="1"/>
  <c r="E81" i="1"/>
  <c r="E80" i="1"/>
  <c r="E75" i="1"/>
  <c r="E74" i="1"/>
  <c r="E73" i="1"/>
  <c r="E72" i="1"/>
  <c r="E71" i="1"/>
  <c r="E70" i="1"/>
  <c r="E69" i="1"/>
  <c r="E68" i="1"/>
  <c r="E67" i="1"/>
  <c r="E66" i="1"/>
  <c r="E61" i="1"/>
  <c r="E60" i="1"/>
  <c r="E59" i="1"/>
  <c r="E58" i="1"/>
  <c r="E57" i="1"/>
  <c r="E56" i="1"/>
  <c r="E55" i="1"/>
  <c r="E54" i="1"/>
  <c r="E53" i="1"/>
  <c r="E52" i="1"/>
  <c r="F47" i="1"/>
  <c r="F46" i="1"/>
  <c r="F45" i="1"/>
  <c r="F44" i="1"/>
  <c r="F43" i="1"/>
  <c r="F42" i="1"/>
  <c r="F41" i="1"/>
  <c r="F40" i="1"/>
  <c r="F39" i="1"/>
  <c r="F38" i="1"/>
  <c r="F33" i="1"/>
  <c r="F32" i="1"/>
  <c r="F31" i="1"/>
  <c r="F30" i="1"/>
  <c r="F29" i="1"/>
  <c r="F28" i="1"/>
  <c r="F27" i="1"/>
  <c r="F26" i="1"/>
  <c r="F25" i="1"/>
  <c r="F24" i="1"/>
  <c r="F19" i="1"/>
  <c r="F18" i="1"/>
  <c r="F17" i="1"/>
  <c r="F16" i="1"/>
  <c r="F15" i="1"/>
  <c r="F14" i="1"/>
  <c r="F13" i="1"/>
  <c r="F12" i="1"/>
  <c r="F11" i="1"/>
  <c r="F10" i="1"/>
  <c r="E47" i="1"/>
  <c r="E46" i="1"/>
  <c r="E45" i="1"/>
  <c r="E44" i="1"/>
  <c r="E43" i="1"/>
  <c r="E42" i="1"/>
  <c r="E41" i="1"/>
  <c r="E40" i="1"/>
  <c r="E39" i="1"/>
  <c r="E38" i="1"/>
  <c r="E33" i="1"/>
  <c r="E32" i="1"/>
  <c r="E31" i="1"/>
  <c r="E30" i="1"/>
  <c r="E29" i="1"/>
  <c r="E28" i="1"/>
  <c r="E27" i="1"/>
  <c r="E26" i="1"/>
  <c r="E25" i="1"/>
  <c r="E24" i="1"/>
  <c r="E19" i="1"/>
  <c r="E18" i="1"/>
  <c r="E17" i="1"/>
  <c r="E16" i="1"/>
  <c r="E15" i="1"/>
  <c r="E14" i="1"/>
  <c r="E13" i="1"/>
  <c r="E12" i="1"/>
  <c r="E11" i="1"/>
  <c r="E10" i="1"/>
  <c r="AS6" i="1" l="1"/>
  <c r="AI6" i="1"/>
  <c r="AK6" i="1"/>
  <c r="AQ6" i="1"/>
  <c r="AG6" i="1"/>
  <c r="AO6" i="1"/>
  <c r="Q6" i="1"/>
  <c r="U6" i="1"/>
  <c r="V34" i="1"/>
  <c r="AA6" i="1"/>
  <c r="AC6" i="1"/>
  <c r="Y6" i="1"/>
  <c r="V20" i="1"/>
  <c r="U20" i="1"/>
  <c r="S6" i="1"/>
  <c r="AR62" i="1"/>
  <c r="AT62" i="1"/>
  <c r="AS62" i="1"/>
  <c r="AR48" i="1"/>
  <c r="AS48" i="1"/>
  <c r="AT48" i="1"/>
  <c r="AJ90" i="1"/>
  <c r="AK90" i="1"/>
  <c r="AL90" i="1"/>
  <c r="AJ76" i="1"/>
  <c r="AK76" i="1"/>
  <c r="AL76" i="1"/>
  <c r="AK62" i="1"/>
  <c r="AL62" i="1"/>
  <c r="AJ62" i="1"/>
  <c r="AJ48" i="1"/>
  <c r="AK48" i="1"/>
  <c r="AL48" i="1"/>
  <c r="AK34" i="1"/>
  <c r="AL34" i="1"/>
  <c r="AJ34" i="1"/>
  <c r="AJ20" i="1"/>
  <c r="AK20" i="1"/>
  <c r="AL20" i="1"/>
  <c r="AS34" i="1"/>
  <c r="AT34" i="1"/>
  <c r="AR34" i="1"/>
  <c r="AR20" i="1"/>
  <c r="AT20" i="1"/>
  <c r="AS20" i="1"/>
  <c r="AC90" i="1"/>
  <c r="AD90" i="1"/>
  <c r="AB90" i="1"/>
  <c r="AC76" i="1"/>
  <c r="AD76" i="1"/>
  <c r="AB76" i="1"/>
  <c r="AC62" i="1"/>
  <c r="AD62" i="1"/>
  <c r="AB62" i="1"/>
  <c r="AC48" i="1"/>
  <c r="AD48" i="1"/>
  <c r="AB48" i="1"/>
  <c r="AB34" i="1"/>
  <c r="AC34" i="1"/>
  <c r="AD34" i="1"/>
  <c r="AC20" i="1"/>
  <c r="AD20" i="1"/>
  <c r="AB20" i="1"/>
  <c r="U34" i="1"/>
  <c r="T20" i="1"/>
  <c r="I6" i="1"/>
  <c r="K6" i="1"/>
  <c r="N48" i="1"/>
  <c r="N90" i="1"/>
  <c r="M6" i="1"/>
  <c r="T34" i="1"/>
  <c r="E6" i="1"/>
  <c r="M62" i="1"/>
  <c r="N76" i="1"/>
  <c r="N62" i="1"/>
  <c r="M90" i="1"/>
  <c r="M76" i="1"/>
  <c r="M20" i="1"/>
  <c r="N34" i="1"/>
  <c r="N20" i="1"/>
  <c r="M48" i="1"/>
  <c r="M34" i="1"/>
  <c r="L48" i="1"/>
  <c r="L90" i="1"/>
  <c r="L34" i="1"/>
  <c r="L76" i="1"/>
  <c r="L20" i="1"/>
  <c r="L62" i="1"/>
  <c r="C6" i="1"/>
  <c r="E62" i="1"/>
  <c r="F90" i="1"/>
  <c r="F76" i="1"/>
  <c r="F62" i="1"/>
  <c r="E90" i="1"/>
  <c r="E76" i="1"/>
  <c r="E20" i="1"/>
  <c r="F20" i="1"/>
  <c r="F48" i="1"/>
  <c r="F34" i="1"/>
  <c r="E48" i="1"/>
  <c r="E34" i="1"/>
  <c r="G90" i="1"/>
  <c r="G48" i="1"/>
  <c r="D89" i="1"/>
  <c r="D47" i="1"/>
  <c r="D88" i="1"/>
  <c r="D46" i="1"/>
  <c r="D87" i="1"/>
  <c r="D45" i="1"/>
  <c r="D86" i="1"/>
  <c r="D44" i="1"/>
  <c r="D85" i="1"/>
  <c r="D43" i="1"/>
  <c r="D84" i="1"/>
  <c r="D42" i="1"/>
  <c r="D83" i="1"/>
  <c r="D41" i="1"/>
  <c r="D82" i="1"/>
  <c r="D40" i="1"/>
  <c r="D81" i="1"/>
  <c r="D39" i="1"/>
  <c r="D80" i="1"/>
  <c r="D38" i="1"/>
  <c r="G76" i="1"/>
  <c r="G34" i="1"/>
  <c r="D75" i="1"/>
  <c r="D33" i="1"/>
  <c r="D74" i="1"/>
  <c r="D32" i="1"/>
  <c r="D73" i="1"/>
  <c r="D31" i="1"/>
  <c r="D72" i="1"/>
  <c r="D30" i="1"/>
  <c r="D71" i="1"/>
  <c r="D29" i="1"/>
  <c r="D70" i="1"/>
  <c r="D28" i="1"/>
  <c r="D69" i="1"/>
  <c r="D27" i="1"/>
  <c r="D68" i="1"/>
  <c r="D26" i="1"/>
  <c r="D67" i="1"/>
  <c r="D25" i="1"/>
  <c r="D66" i="1"/>
  <c r="D24" i="1"/>
  <c r="G62" i="1"/>
  <c r="G20" i="1"/>
  <c r="D61" i="1"/>
  <c r="D19" i="1"/>
  <c r="D60" i="1"/>
  <c r="D18" i="1"/>
  <c r="D59" i="1"/>
  <c r="D17" i="1"/>
  <c r="D58" i="1"/>
  <c r="D16" i="1"/>
  <c r="D57" i="1"/>
  <c r="D15" i="1"/>
  <c r="D56" i="1"/>
  <c r="D14" i="1"/>
  <c r="D55" i="1"/>
  <c r="D13" i="1"/>
  <c r="D54" i="1"/>
  <c r="D12" i="1"/>
  <c r="D53" i="1"/>
  <c r="D11" i="1"/>
  <c r="D52" i="1"/>
  <c r="D10" i="1"/>
  <c r="A6" i="1" l="1"/>
  <c r="D62" i="1"/>
  <c r="D90" i="1"/>
  <c r="D34" i="1"/>
  <c r="D76" i="1"/>
  <c r="D20" i="1"/>
  <c r="D48" i="1"/>
</calcChain>
</file>

<file path=xl/sharedStrings.xml><?xml version="1.0" encoding="utf-8"?>
<sst xmlns="http://schemas.openxmlformats.org/spreadsheetml/2006/main" count="266" uniqueCount="45">
  <si>
    <t>Waist bends forward -&gt; Frontal elevation of arms</t>
    <phoneticPr fontId="2" type="noConversion"/>
  </si>
  <si>
    <t>Frontal elevation of arms -&gt; Waist bends forward</t>
    <phoneticPr fontId="2" type="noConversion"/>
  </si>
  <si>
    <t>Subject_ID</t>
    <phoneticPr fontId="2" type="noConversion"/>
  </si>
  <si>
    <t>Pred</t>
    <phoneticPr fontId="2" type="noConversion"/>
  </si>
  <si>
    <t>GT</t>
    <phoneticPr fontId="2" type="noConversion"/>
  </si>
  <si>
    <t>MAE</t>
    <phoneticPr fontId="2" type="noConversion"/>
  </si>
  <si>
    <t>k_hat</t>
    <phoneticPr fontId="2" type="noConversion"/>
  </si>
  <si>
    <t>Waist bends forward -&gt; Knees bending</t>
    <phoneticPr fontId="2" type="noConversion"/>
  </si>
  <si>
    <t>Knees bending -&gt; Waist bends forward</t>
    <phoneticPr fontId="2" type="noConversion"/>
  </si>
  <si>
    <t>Frontal elevation of arms -&gt; Knees bending</t>
    <phoneticPr fontId="2" type="noConversion"/>
  </si>
  <si>
    <t>Knees bending -&gt; Frontal elevation of arms</t>
    <phoneticPr fontId="2" type="noConversion"/>
  </si>
  <si>
    <t>Knees bending -&gt; Jump front and back</t>
    <phoneticPr fontId="2" type="noConversion"/>
  </si>
  <si>
    <t>Jump front and back -&gt; Knees bending</t>
    <phoneticPr fontId="2" type="noConversion"/>
  </si>
  <si>
    <t>Waist bends forward -&gt; Jump front and back</t>
    <phoneticPr fontId="2" type="noConversion"/>
  </si>
  <si>
    <t>Jump front and back -&gt; Waist bends forward</t>
    <phoneticPr fontId="2" type="noConversion"/>
  </si>
  <si>
    <t>Frontal elevation of arms -&gt; Jump front and back</t>
    <phoneticPr fontId="2" type="noConversion"/>
  </si>
  <si>
    <t>Jump front and back -&gt; Frontal elevation of arms</t>
    <phoneticPr fontId="2" type="noConversion"/>
  </si>
  <si>
    <t>Jogging -&gt; Running</t>
    <phoneticPr fontId="2" type="noConversion"/>
  </si>
  <si>
    <t>Running -&gt; Jogging</t>
    <phoneticPr fontId="2" type="noConversion"/>
  </si>
  <si>
    <t>MAPE(%)</t>
    <phoneticPr fontId="2" type="noConversion"/>
  </si>
  <si>
    <t>Bias</t>
    <phoneticPr fontId="2" type="noConversion"/>
  </si>
  <si>
    <t>Waist bends forward -&gt; Jogging</t>
    <phoneticPr fontId="2" type="noConversion"/>
  </si>
  <si>
    <t>Waist bends forward -&gt; Running</t>
    <phoneticPr fontId="2" type="noConversion"/>
  </si>
  <si>
    <t>Frontal elevation of arms -&gt; Jogging</t>
    <phoneticPr fontId="2" type="noConversion"/>
  </si>
  <si>
    <t>Frontal elevation of arms -&gt; Running</t>
    <phoneticPr fontId="2" type="noConversion"/>
  </si>
  <si>
    <t>Knees bending -&gt; Jogging</t>
    <phoneticPr fontId="2" type="noConversion"/>
  </si>
  <si>
    <t>Knees bending -&gt; Running</t>
    <phoneticPr fontId="2" type="noConversion"/>
  </si>
  <si>
    <t>Jump front and back -&gt; Jogging</t>
    <phoneticPr fontId="2" type="noConversion"/>
  </si>
  <si>
    <t>Jump front and back -&gt; Running</t>
    <phoneticPr fontId="2" type="noConversion"/>
  </si>
  <si>
    <t>Jogging -&gt; Waist bends forward</t>
    <phoneticPr fontId="2" type="noConversion"/>
  </si>
  <si>
    <t>Running -&gt; Waist bends forward</t>
    <phoneticPr fontId="2" type="noConversion"/>
  </si>
  <si>
    <t>Jogging -&gt; Frontal elevation of arms</t>
    <phoneticPr fontId="2" type="noConversion"/>
  </si>
  <si>
    <t>Running -&gt; Frontal elevation of arms</t>
    <phoneticPr fontId="2" type="noConversion"/>
  </si>
  <si>
    <t>Jogging -&gt; Knees bending</t>
    <phoneticPr fontId="2" type="noConversion"/>
  </si>
  <si>
    <t>Running -&gt; Knees bending</t>
    <phoneticPr fontId="2" type="noConversion"/>
  </si>
  <si>
    <t>Jogging -&gt; Jump front &amp; back</t>
    <phoneticPr fontId="2" type="noConversion"/>
  </si>
  <si>
    <t>Running -&gt; Jump front &amp; back</t>
    <phoneticPr fontId="2" type="noConversion"/>
  </si>
  <si>
    <t xml:space="preserve">(1) Intra-scale (Low-Low), Tempo-aligned (Slow↔Slow) </t>
    <phoneticPr fontId="2" type="noConversion"/>
  </si>
  <si>
    <t>(2) Intra-scale (Low-Low), Tempo-shift (Slow↔Fast)</t>
    <phoneticPr fontId="2" type="noConversion"/>
  </si>
  <si>
    <t>(3) Intra-scale (High-High), Tempo-aligned (Fast↔Fast)</t>
    <phoneticPr fontId="2" type="noConversion"/>
  </si>
  <si>
    <t>(4-1) Cross-scale (Low→High), Tempo-shift (Slow→Fast)</t>
    <phoneticPr fontId="2" type="noConversion"/>
  </si>
  <si>
    <t>(4-2) Cross-scale (High→Low), Tempo-shift (Fast→Slow)</t>
    <phoneticPr fontId="2" type="noConversion"/>
  </si>
  <si>
    <t>(4-3) Cross-scale (Low↔High), Tempo-aligned (Fast↔Fast)</t>
    <phoneticPr fontId="2" type="noConversion"/>
  </si>
  <si>
    <t>2-2) Activity shift</t>
    <phoneticPr fontId="2" type="noConversion"/>
  </si>
  <si>
    <t>- Waist bends forward: Low &amp; Slow
- Frontal elevation of arms: Low &amp; Slow
- Knees bending: Low &amp; Slow
- Jogging: High &amp; Fast
- Running: High &amp; Fast
- Jump front and back: Low &amp; Fast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</si>
</sst>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Noto Serif KR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Noto Serif KR"/>
      <family val="1"/>
      <charset val="129"/>
    </font>
    <font>
      <sz val="11"/>
      <color theme="1"/>
      <name val="Noto Sans KR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/>
    </xf>
    <xf numFmtId="10" fontId="1" fillId="4" borderId="2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BF0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DAA0-CB39-4BC2-A340-F1A5FBBB87E5}">
  <dimension ref="A1:AU90"/>
  <sheetViews>
    <sheetView tabSelected="1" topLeftCell="T54" workbookViewId="0">
      <selection activeCell="W71" sqref="W71"/>
    </sheetView>
  </sheetViews>
  <sheetFormatPr defaultRowHeight="16.5" x14ac:dyDescent="0.3"/>
  <cols>
    <col min="1" max="3" width="12.375" customWidth="1"/>
    <col min="4" max="6" width="17.75" customWidth="1"/>
    <col min="7" max="11" width="12.375" customWidth="1"/>
    <col min="12" max="14" width="17.75" customWidth="1"/>
    <col min="15" max="19" width="12.375" customWidth="1"/>
    <col min="20" max="22" width="17.75" customWidth="1"/>
    <col min="23" max="23" width="12.375" customWidth="1"/>
    <col min="25" max="27" width="12.375" customWidth="1"/>
    <col min="28" max="30" width="17.75" customWidth="1"/>
    <col min="31" max="31" width="12.375" customWidth="1"/>
    <col min="33" max="35" width="12.375" customWidth="1"/>
    <col min="36" max="38" width="17.75" customWidth="1"/>
    <col min="39" max="39" width="12.375" customWidth="1"/>
    <col min="41" max="43" width="12.375" customWidth="1"/>
    <col min="44" max="46" width="17.75" customWidth="1"/>
    <col min="47" max="48" width="12.375" customWidth="1"/>
  </cols>
  <sheetData>
    <row r="1" spans="1:47" ht="24.75" customHeight="1" x14ac:dyDescent="0.3">
      <c r="A1" s="13" t="s">
        <v>43</v>
      </c>
      <c r="B1" s="14"/>
      <c r="C1" s="14"/>
      <c r="D1" s="14"/>
      <c r="E1" s="14"/>
      <c r="F1" s="14"/>
    </row>
    <row r="2" spans="1:47" ht="149.25" customHeight="1" x14ac:dyDescent="0.3">
      <c r="A2" s="15" t="s">
        <v>44</v>
      </c>
      <c r="B2" s="15"/>
      <c r="C2" s="15"/>
      <c r="D2" s="15"/>
      <c r="E2" s="15"/>
      <c r="F2" s="15"/>
    </row>
    <row r="3" spans="1:47" ht="24.75" customHeight="1" x14ac:dyDescent="0.3">
      <c r="A3" s="12"/>
      <c r="B3" s="12"/>
      <c r="C3" s="12"/>
      <c r="D3" s="12"/>
      <c r="E3" s="12"/>
      <c r="F3" s="12"/>
    </row>
    <row r="4" spans="1:47" ht="18" x14ac:dyDescent="0.3">
      <c r="A4" s="28" t="s">
        <v>37</v>
      </c>
      <c r="B4" s="28"/>
      <c r="C4" s="28"/>
      <c r="D4" s="28"/>
      <c r="E4" s="28"/>
      <c r="F4" s="28"/>
      <c r="G4" s="12"/>
      <c r="I4" s="29" t="s">
        <v>38</v>
      </c>
      <c r="J4" s="29"/>
      <c r="K4" s="29"/>
      <c r="L4" s="29"/>
      <c r="M4" s="29"/>
      <c r="N4" s="29"/>
      <c r="O4" s="29"/>
      <c r="Q4" s="26" t="s">
        <v>39</v>
      </c>
      <c r="R4" s="26"/>
      <c r="S4" s="26"/>
      <c r="T4" s="26"/>
      <c r="U4" s="26"/>
      <c r="V4" s="26"/>
      <c r="W4" s="12"/>
      <c r="X4" s="12"/>
      <c r="Y4" s="19" t="s">
        <v>40</v>
      </c>
      <c r="Z4" s="19"/>
      <c r="AA4" s="19"/>
      <c r="AB4" s="19"/>
      <c r="AC4" s="19"/>
      <c r="AD4" s="19"/>
      <c r="AG4" s="19" t="s">
        <v>41</v>
      </c>
      <c r="AH4" s="19"/>
      <c r="AI4" s="19"/>
      <c r="AJ4" s="19"/>
      <c r="AK4" s="19"/>
      <c r="AL4" s="19"/>
      <c r="AO4" s="19" t="s">
        <v>42</v>
      </c>
      <c r="AP4" s="19"/>
      <c r="AQ4" s="19"/>
      <c r="AR4" s="19"/>
      <c r="AS4" s="19"/>
      <c r="AT4" s="19"/>
    </row>
    <row r="5" spans="1:47" ht="18" x14ac:dyDescent="0.3">
      <c r="A5" s="20" t="s">
        <v>5</v>
      </c>
      <c r="B5" s="20"/>
      <c r="C5" s="20" t="s">
        <v>19</v>
      </c>
      <c r="D5" s="20"/>
      <c r="E5" s="20" t="s">
        <v>20</v>
      </c>
      <c r="F5" s="20"/>
      <c r="G5" s="7"/>
      <c r="I5" s="20" t="s">
        <v>5</v>
      </c>
      <c r="J5" s="20"/>
      <c r="K5" s="20" t="s">
        <v>19</v>
      </c>
      <c r="L5" s="20"/>
      <c r="M5" s="20" t="s">
        <v>20</v>
      </c>
      <c r="N5" s="20"/>
      <c r="Q5" s="20" t="s">
        <v>5</v>
      </c>
      <c r="R5" s="20"/>
      <c r="S5" s="20" t="s">
        <v>19</v>
      </c>
      <c r="T5" s="20"/>
      <c r="U5" s="20" t="s">
        <v>20</v>
      </c>
      <c r="V5" s="20"/>
      <c r="Y5" s="20" t="s">
        <v>5</v>
      </c>
      <c r="Z5" s="20"/>
      <c r="AA5" s="20" t="s">
        <v>19</v>
      </c>
      <c r="AB5" s="20"/>
      <c r="AC5" s="20" t="s">
        <v>20</v>
      </c>
      <c r="AD5" s="20"/>
      <c r="AG5" s="20" t="s">
        <v>5</v>
      </c>
      <c r="AH5" s="20"/>
      <c r="AI5" s="20" t="s">
        <v>19</v>
      </c>
      <c r="AJ5" s="20"/>
      <c r="AK5" s="20" t="s">
        <v>20</v>
      </c>
      <c r="AL5" s="20"/>
      <c r="AO5" s="20" t="s">
        <v>5</v>
      </c>
      <c r="AP5" s="20"/>
      <c r="AQ5" s="20" t="s">
        <v>19</v>
      </c>
      <c r="AR5" s="20"/>
      <c r="AS5" s="20" t="s">
        <v>20</v>
      </c>
      <c r="AT5" s="20"/>
    </row>
    <row r="6" spans="1:47" ht="18" x14ac:dyDescent="0.3">
      <c r="A6" s="21" t="str">
        <f>TEXT( AVERAGE(D10:D19, D24:D33, D38:D47, D52:D61, D66:D75, D80:D89),"0.000")
&amp;"±"&amp;
TEXT( _xlfn.STDEV.S(D10:D19, D24:D33, D38:D47, D52:D61, D66:D75, D80:D89),"0.000")</f>
        <v>4.217±3.159</v>
      </c>
      <c r="B6" s="21"/>
      <c r="C6" s="25" t="str">
        <f>TEXT( AVERAGE(E10:E19, E24:E33, E38:E47, E52:E61, E66:E75, E80:E89),"0.00%")
&amp;"±"&amp;
TEXT( _xlfn.STDEV.S(E10:E19, E24:E33, E38:E47, E52:E61, E66:E75, E80:E89),"0.00%")</f>
        <v>20.97%±16.01%</v>
      </c>
      <c r="D6" s="25"/>
      <c r="E6" s="21" t="str">
        <f>TEXT( AVERAGE(F10:F19, F24:F33, F38:F47, F52:F61, F66:F75, F80:F89),"0.000")
&amp;"±"&amp;
TEXT( _xlfn.STDEV.S(F10:F19, F24:F33, F38:F47, F52:F61, F66:F75, F80:F89),"0.000")</f>
        <v>-0.056±5.297</v>
      </c>
      <c r="F6" s="21"/>
      <c r="I6" s="21" t="str">
        <f>TEXT( AVERAGE(L10:L19, L24:L33, L38:L47, L52:L61, L66:L75, L80:L89),"0.000")
&amp;"±"&amp;
TEXT( _xlfn.STDEV.S(L10:L19, L24:L33, L38:L47, L52:L61, L66:L75, L80:L89),"0.000")</f>
        <v>23.940±13.432</v>
      </c>
      <c r="J6" s="21"/>
      <c r="K6" s="25" t="str">
        <f>TEXT( AVERAGE(M10:M19, M24:M33, M38:M47, M52:M61, M66:M75, M80:M89),"0.00%")
&amp;"±"&amp;
TEXT( _xlfn.STDEV.S(M10:M19, M24:M33, M38:M47, M52:M61, M66:M75, M80:M89),"0.00%")</f>
        <v>118.42%±67.29%</v>
      </c>
      <c r="L6" s="25"/>
      <c r="M6" s="21" t="str">
        <f>TEXT( AVERAGE(N10:N19, N24:N33, N38:N47, N52:N61, N66:N75, N80:N89),"0.000")
&amp;"±"&amp;
TEXT( _xlfn.STDEV.S(N10:N19, N24:N33, N38:N47, N52:N61, N66:N75, N80:N89),"0.000")</f>
        <v>10.848±25.368</v>
      </c>
      <c r="N6" s="21"/>
      <c r="Q6" s="21" t="str">
        <f>TEXT( AVERAGE(T10:T19, T24:T33),"0.000")
&amp;"±"&amp;
TEXT( _xlfn.STDEV.S(T10:T19, T24:T33),"0.000")</f>
        <v>16.275±12.217</v>
      </c>
      <c r="R6" s="21"/>
      <c r="S6" s="25" t="str">
        <f>TEXT( AVERAGE(U10:U19, U24:U33),"0.00%")
&amp;"±"&amp;
TEXT( _xlfn.STDEV.S(U10:U19, U24:U33),"0.00%")</f>
        <v>10.10%±7.66%</v>
      </c>
      <c r="T6" s="25"/>
      <c r="U6" s="21" t="str">
        <f>TEXT( AVERAGE(V10:V19, V24:V33),"0.000")
&amp;"±"&amp;
TEXT( _xlfn.STDEV.S(V10:V19, V24:V33),"0.000")</f>
        <v>5.853±19.799</v>
      </c>
      <c r="V6" s="21"/>
      <c r="Y6" s="21" t="str">
        <f>TEXT( AVERAGE(AB10:AB19, AB24:AB33, AB38:AB47, AB52:AB61, AB66:AB75, AB80:AB89, AR10:AR19, AR24:AR33),"0.000")
&amp;"±"&amp;
TEXT( _xlfn.STDEV.S(AB10:AB19, AB24:AB33, AB38:AB47, AB52:AB61, AB66:AB75, AB80:AB89, AR10:AR19, AR24:AR33),"0.000")</f>
        <v>127.861±20.644</v>
      </c>
      <c r="Z6" s="21"/>
      <c r="AA6" s="22" t="str">
        <f>TEXT( AVERAGE(AC10:AC19, AC24:AC33, AC38:AC47, AC52:AC61, AC66:AC75, AC80:AC89, AS10:AS19, AS24:AS33),"0.00%")
&amp;"±"&amp;
TEXT( _xlfn.STDEV.S(AC10:AC19, AC24:AC33, AC38:AC47, AC52:AC61, AC66:AC75, AC80:AC89, AS10:AS19, AS24:AS33),"0.00%")</f>
        <v>79.21%±12.05%</v>
      </c>
      <c r="AB6" s="23"/>
      <c r="AC6" s="17" t="str">
        <f>TEXT( AVERAGE(AD10:AD19, AD24:AD33, AD38:AD47, AD52:AD61, AD66:AD75, AD80:AD89, AT10:AT19, AT24:AT33),"0.000")
&amp;"±"&amp;
TEXT( _xlfn.STDEV.S(AD10:AD19, AD24:AD33, AD38:AD47, AD52:AD61, AD66:AD75, AD80:AD89, AT10:AT19, AT24:AT33),"0.000")</f>
        <v>-127.861±20.644</v>
      </c>
      <c r="AD6" s="18"/>
      <c r="AG6" s="21" t="str">
        <f>TEXT( AVERAGE(AJ10:AJ19, AJ24:AJ33, AJ38:AJ47, AJ52:AJ61, AJ66:AJ75, AJ80:AJ89),"0.000")
&amp;"±"&amp;
TEXT( _xlfn.STDEV.S(AJ10:AJ19, AJ24:AJ33, AJ38:AJ47, AJ52:AJ61, AJ66:AJ75, AJ80:AJ89),"0.000")</f>
        <v>121.576±27.941</v>
      </c>
      <c r="AH6" s="21"/>
      <c r="AI6" s="22" t="str">
        <f>TEXT( AVERAGE(AK10:AK19, AK24:AK33, AK38:AK47, AK52:AK61, AK66:AK75, AK80:AK89),"0.00%")
&amp;"±"&amp;
TEXT( _xlfn.STDEV.S(AK10:AK19, AK24:AK33, AK38:AK47, AK52:AK61, AK66:AK75, AK80:AK89),"0.00%")</f>
        <v>603.54%±144.86%</v>
      </c>
      <c r="AJ6" s="23"/>
      <c r="AK6" s="17" t="str">
        <f>TEXT( AVERAGE(AL10:AL19, AL24:AL33, AL38:AL47, AL52:AL61, AL66:AL75, AL80:AL89),"0.000")
&amp;"±"&amp;
TEXT( _xlfn.STDEV.S(AL10:AL19, AL24:AL33, AL38:AL47, AL52:AL61, AL66:AL75, AL80:AL89),"0.000")</f>
        <v>121.576±27.941</v>
      </c>
      <c r="AL6" s="18"/>
      <c r="AO6" s="21" t="str">
        <f>TEXT( AVERAGE(AR10:AR19, AR24:AR33, AR38:AR47, AR52:AR61),"0.000")
&amp;"±"&amp;
TEXT( _xlfn.STDEV.S(AR10:AR19, AR24:AR33, AR38:AR47, AR52:AR61),"0.000")</f>
        <v>64.031±32.718</v>
      </c>
      <c r="AP6" s="21"/>
      <c r="AQ6" s="22" t="str">
        <f>TEXT( AVERAGE(AS10:AS19, AS24:AS33, AS38:AS47, AS52:AS61),"0.00%")
&amp;"±"&amp;
TEXT( _xlfn.STDEV.S(AS10:AS19, AS24:AS33, AS38:AS47, AS52:AS61),"0.00%")</f>
        <v>109.58%±56.72%</v>
      </c>
      <c r="AR6" s="23"/>
      <c r="AS6" s="17" t="str">
        <f>TEXT( AVERAGE(AT10:AT19, AT24:AT33, AT38:AT47, AT52:AT61),"0.000")
&amp;"±"&amp;
TEXT( _xlfn.STDEV.S(AT10:AT19, AT24:AT33, AT38:AT47, AT52:AT61),"0.000")</f>
        <v>-31.394±65.305</v>
      </c>
      <c r="AT6" s="18"/>
    </row>
    <row r="8" spans="1:47" ht="18" x14ac:dyDescent="0.3">
      <c r="A8" s="30" t="s">
        <v>0</v>
      </c>
      <c r="B8" s="30"/>
      <c r="C8" s="30"/>
      <c r="D8" s="30"/>
      <c r="E8" s="30"/>
      <c r="F8" s="30"/>
      <c r="G8" s="30"/>
      <c r="H8" s="1"/>
      <c r="I8" s="24" t="s">
        <v>11</v>
      </c>
      <c r="J8" s="24"/>
      <c r="K8" s="24"/>
      <c r="L8" s="24"/>
      <c r="M8" s="24"/>
      <c r="N8" s="24"/>
      <c r="O8" s="24"/>
      <c r="P8" s="1"/>
      <c r="Q8" s="27" t="s">
        <v>17</v>
      </c>
      <c r="R8" s="27"/>
      <c r="S8" s="27"/>
      <c r="T8" s="27"/>
      <c r="U8" s="27"/>
      <c r="V8" s="27"/>
      <c r="W8" s="27"/>
      <c r="X8" s="1"/>
      <c r="Y8" s="16" t="s">
        <v>21</v>
      </c>
      <c r="Z8" s="16"/>
      <c r="AA8" s="16"/>
      <c r="AB8" s="16"/>
      <c r="AC8" s="16"/>
      <c r="AD8" s="16"/>
      <c r="AE8" s="16"/>
      <c r="AG8" s="16" t="s">
        <v>29</v>
      </c>
      <c r="AH8" s="16"/>
      <c r="AI8" s="16"/>
      <c r="AJ8" s="16"/>
      <c r="AK8" s="16"/>
      <c r="AL8" s="16"/>
      <c r="AM8" s="16"/>
      <c r="AO8" s="16" t="s">
        <v>27</v>
      </c>
      <c r="AP8" s="16"/>
      <c r="AQ8" s="16"/>
      <c r="AR8" s="16"/>
      <c r="AS8" s="16"/>
      <c r="AT8" s="16"/>
      <c r="AU8" s="16"/>
    </row>
    <row r="9" spans="1:47" ht="18" x14ac:dyDescent="0.3">
      <c r="A9" s="2" t="s">
        <v>2</v>
      </c>
      <c r="B9" s="2" t="s">
        <v>3</v>
      </c>
      <c r="C9" s="2" t="s">
        <v>4</v>
      </c>
      <c r="D9" s="2" t="s">
        <v>5</v>
      </c>
      <c r="E9" s="2" t="s">
        <v>19</v>
      </c>
      <c r="F9" s="2" t="s">
        <v>20</v>
      </c>
      <c r="G9" s="2" t="s">
        <v>6</v>
      </c>
      <c r="H9" s="1"/>
      <c r="I9" s="2" t="s">
        <v>2</v>
      </c>
      <c r="J9" s="2" t="s">
        <v>3</v>
      </c>
      <c r="K9" s="2" t="s">
        <v>4</v>
      </c>
      <c r="L9" s="2" t="s">
        <v>5</v>
      </c>
      <c r="M9" s="2" t="s">
        <v>19</v>
      </c>
      <c r="N9" s="2" t="s">
        <v>20</v>
      </c>
      <c r="O9" s="2" t="s">
        <v>6</v>
      </c>
      <c r="P9" s="1"/>
      <c r="Q9" s="2" t="s">
        <v>2</v>
      </c>
      <c r="R9" s="2" t="s">
        <v>3</v>
      </c>
      <c r="S9" s="2" t="s">
        <v>4</v>
      </c>
      <c r="T9" s="2" t="s">
        <v>5</v>
      </c>
      <c r="U9" s="2" t="s">
        <v>19</v>
      </c>
      <c r="V9" s="2" t="s">
        <v>20</v>
      </c>
      <c r="W9" s="2" t="s">
        <v>6</v>
      </c>
      <c r="X9" s="1"/>
      <c r="Y9" s="2" t="s">
        <v>2</v>
      </c>
      <c r="Z9" s="2" t="s">
        <v>3</v>
      </c>
      <c r="AA9" s="2" t="s">
        <v>4</v>
      </c>
      <c r="AB9" s="2" t="s">
        <v>5</v>
      </c>
      <c r="AC9" s="2" t="s">
        <v>19</v>
      </c>
      <c r="AD9" s="2" t="s">
        <v>20</v>
      </c>
      <c r="AE9" s="2" t="s">
        <v>6</v>
      </c>
      <c r="AG9" s="2" t="s">
        <v>2</v>
      </c>
      <c r="AH9" s="2" t="s">
        <v>3</v>
      </c>
      <c r="AI9" s="2" t="s">
        <v>4</v>
      </c>
      <c r="AJ9" s="2" t="s">
        <v>5</v>
      </c>
      <c r="AK9" s="2" t="s">
        <v>19</v>
      </c>
      <c r="AL9" s="2" t="s">
        <v>20</v>
      </c>
      <c r="AM9" s="2" t="s">
        <v>6</v>
      </c>
      <c r="AO9" s="2" t="s">
        <v>2</v>
      </c>
      <c r="AP9" s="2" t="s">
        <v>3</v>
      </c>
      <c r="AQ9" s="2" t="s">
        <v>4</v>
      </c>
      <c r="AR9" s="2" t="s">
        <v>5</v>
      </c>
      <c r="AS9" s="2" t="s">
        <v>19</v>
      </c>
      <c r="AT9" s="2" t="s">
        <v>20</v>
      </c>
      <c r="AU9" s="2" t="s">
        <v>6</v>
      </c>
    </row>
    <row r="10" spans="1:47" ht="18" x14ac:dyDescent="0.3">
      <c r="A10" s="3">
        <v>1</v>
      </c>
      <c r="B10" s="3">
        <v>28.56</v>
      </c>
      <c r="C10" s="3">
        <v>20</v>
      </c>
      <c r="D10" s="4">
        <f t="shared" ref="D10:D19" si="0">ABS(B10-C10)</f>
        <v>8.5599999999999987</v>
      </c>
      <c r="E10" s="9">
        <f t="shared" ref="E10:E19" si="1">ABS(B10-C10)/C10</f>
        <v>0.42799999999999994</v>
      </c>
      <c r="F10" s="11">
        <f t="shared" ref="F10:F19" si="2">B10-C10</f>
        <v>8.5599999999999987</v>
      </c>
      <c r="G10" s="3">
        <v>1.01</v>
      </c>
      <c r="H10" s="1"/>
      <c r="I10" s="3">
        <v>1</v>
      </c>
      <c r="J10" s="3">
        <v>6.16</v>
      </c>
      <c r="K10" s="3">
        <v>20</v>
      </c>
      <c r="L10" s="4">
        <f>ABS(J10-K10)</f>
        <v>13.84</v>
      </c>
      <c r="M10" s="9">
        <f t="shared" ref="M10:M19" si="3">ABS(J10-K10)/K10</f>
        <v>0.69199999999999995</v>
      </c>
      <c r="N10" s="11">
        <f t="shared" ref="N10:N19" si="4">J10-K10</f>
        <v>-13.84</v>
      </c>
      <c r="O10" s="3">
        <v>1.02</v>
      </c>
      <c r="P10" s="1"/>
      <c r="Q10" s="3">
        <v>1</v>
      </c>
      <c r="R10" s="3">
        <v>167.17</v>
      </c>
      <c r="S10" s="3">
        <v>165</v>
      </c>
      <c r="T10" s="4">
        <f>ABS(R10-S10)</f>
        <v>2.1699999999999875</v>
      </c>
      <c r="U10" s="9">
        <f t="shared" ref="U10:U19" si="5">ABS(R10-S10)/S10</f>
        <v>1.3151515151515076E-2</v>
      </c>
      <c r="V10" s="11">
        <f t="shared" ref="V10:V19" si="6">R10-S10</f>
        <v>2.1699999999999875</v>
      </c>
      <c r="W10" s="5">
        <v>1.1000000000000001</v>
      </c>
      <c r="X10" s="1"/>
      <c r="Y10" s="3">
        <v>1</v>
      </c>
      <c r="Z10" s="3">
        <v>26.76</v>
      </c>
      <c r="AA10" s="8">
        <v>157</v>
      </c>
      <c r="AB10" s="4">
        <f>ABS(Z10-AA10)</f>
        <v>130.24</v>
      </c>
      <c r="AC10" s="9">
        <f t="shared" ref="AC10:AC19" si="7">ABS(Z10-AA10)/AA10</f>
        <v>0.8295541401273886</v>
      </c>
      <c r="AD10" s="11">
        <f t="shared" ref="AD10:AD19" si="8">Z10-AA10</f>
        <v>-130.24</v>
      </c>
      <c r="AE10" s="5">
        <v>1.01</v>
      </c>
      <c r="AG10" s="3">
        <v>1</v>
      </c>
      <c r="AH10" s="3">
        <v>118.67</v>
      </c>
      <c r="AI10" s="3">
        <v>21</v>
      </c>
      <c r="AJ10" s="4">
        <f>ABS(AH10-AI10)</f>
        <v>97.67</v>
      </c>
      <c r="AK10" s="9">
        <f t="shared" ref="AK10:AK19" si="9">ABS(AH10-AI10)/AI10</f>
        <v>4.6509523809523809</v>
      </c>
      <c r="AL10" s="11">
        <f t="shared" ref="AL10:AL19" si="10">AH10-AI10</f>
        <v>97.67</v>
      </c>
      <c r="AM10" s="5">
        <v>1.1399999999999999</v>
      </c>
      <c r="AO10" s="3">
        <v>1</v>
      </c>
      <c r="AP10" s="3">
        <v>57.67</v>
      </c>
      <c r="AQ10" s="8">
        <v>157</v>
      </c>
      <c r="AR10" s="4">
        <f>ABS(AP10-AQ10)</f>
        <v>99.33</v>
      </c>
      <c r="AS10" s="9">
        <f t="shared" ref="AS10:AS19" si="11">ABS(AP10-AQ10)/AQ10</f>
        <v>0.63267515923566875</v>
      </c>
      <c r="AT10" s="11">
        <f t="shared" ref="AT10:AT19" si="12">AP10-AQ10</f>
        <v>-99.33</v>
      </c>
      <c r="AU10" s="5">
        <v>2.2999999999999998</v>
      </c>
    </row>
    <row r="11" spans="1:47" ht="18" x14ac:dyDescent="0.3">
      <c r="A11" s="3">
        <v>2</v>
      </c>
      <c r="B11" s="3">
        <v>28.16</v>
      </c>
      <c r="C11" s="3">
        <v>20</v>
      </c>
      <c r="D11" s="4">
        <f t="shared" si="0"/>
        <v>8.16</v>
      </c>
      <c r="E11" s="9">
        <f t="shared" si="1"/>
        <v>0.40800000000000003</v>
      </c>
      <c r="F11" s="11">
        <f t="shared" si="2"/>
        <v>8.16</v>
      </c>
      <c r="G11" s="3">
        <v>1.04</v>
      </c>
      <c r="H11" s="1"/>
      <c r="I11" s="3">
        <v>2</v>
      </c>
      <c r="J11" s="5">
        <v>6.34</v>
      </c>
      <c r="K11" s="3">
        <v>22</v>
      </c>
      <c r="L11" s="4">
        <f t="shared" ref="L11:L19" si="13">ABS(J11-K11)</f>
        <v>15.66</v>
      </c>
      <c r="M11" s="9">
        <f t="shared" si="3"/>
        <v>0.71181818181818179</v>
      </c>
      <c r="N11" s="11">
        <f t="shared" si="4"/>
        <v>-15.66</v>
      </c>
      <c r="O11" s="3">
        <v>1.02</v>
      </c>
      <c r="P11" s="1"/>
      <c r="Q11" s="3">
        <v>2</v>
      </c>
      <c r="R11" s="3">
        <v>166.68</v>
      </c>
      <c r="S11" s="3">
        <v>158</v>
      </c>
      <c r="T11" s="4">
        <f t="shared" ref="T11:T19" si="14">ABS(R11-S11)</f>
        <v>8.6800000000000068</v>
      </c>
      <c r="U11" s="9">
        <f t="shared" si="5"/>
        <v>5.4936708860759534E-2</v>
      </c>
      <c r="V11" s="11">
        <f t="shared" si="6"/>
        <v>8.6800000000000068</v>
      </c>
      <c r="W11" s="3">
        <v>1.17</v>
      </c>
      <c r="X11" s="1"/>
      <c r="Y11" s="3">
        <v>2</v>
      </c>
      <c r="Z11" s="3">
        <v>28.82</v>
      </c>
      <c r="AA11" s="8">
        <v>161</v>
      </c>
      <c r="AB11" s="4">
        <f t="shared" ref="AB11:AB19" si="15">ABS(Z11-AA11)</f>
        <v>132.18</v>
      </c>
      <c r="AC11" s="9">
        <f t="shared" si="7"/>
        <v>0.82099378881987584</v>
      </c>
      <c r="AD11" s="11">
        <f t="shared" si="8"/>
        <v>-132.18</v>
      </c>
      <c r="AE11" s="5">
        <v>1.01</v>
      </c>
      <c r="AG11" s="3">
        <v>2</v>
      </c>
      <c r="AH11" s="3">
        <v>147.58000000000001</v>
      </c>
      <c r="AI11" s="3">
        <v>19</v>
      </c>
      <c r="AJ11" s="4">
        <f t="shared" ref="AJ11:AJ19" si="16">ABS(AH11-AI11)</f>
        <v>128.58000000000001</v>
      </c>
      <c r="AK11" s="9">
        <f t="shared" si="9"/>
        <v>6.7673684210526321</v>
      </c>
      <c r="AL11" s="11">
        <f t="shared" si="10"/>
        <v>128.58000000000001</v>
      </c>
      <c r="AM11" s="5">
        <v>1.26</v>
      </c>
      <c r="AO11" s="3">
        <v>2</v>
      </c>
      <c r="AP11" s="3">
        <v>68.55</v>
      </c>
      <c r="AQ11" s="8">
        <v>161</v>
      </c>
      <c r="AR11" s="4">
        <f t="shared" ref="AR11:AR19" si="17">ABS(AP11-AQ11)</f>
        <v>92.45</v>
      </c>
      <c r="AS11" s="9">
        <f t="shared" si="11"/>
        <v>0.57422360248447202</v>
      </c>
      <c r="AT11" s="11">
        <f t="shared" si="12"/>
        <v>-92.45</v>
      </c>
      <c r="AU11" s="5">
        <v>2.14</v>
      </c>
    </row>
    <row r="12" spans="1:47" ht="18" x14ac:dyDescent="0.3">
      <c r="A12" s="3">
        <v>3</v>
      </c>
      <c r="B12" s="3">
        <v>24.36</v>
      </c>
      <c r="C12" s="3">
        <v>20</v>
      </c>
      <c r="D12" s="4">
        <f t="shared" si="0"/>
        <v>4.3599999999999994</v>
      </c>
      <c r="E12" s="9">
        <f t="shared" si="1"/>
        <v>0.21799999999999997</v>
      </c>
      <c r="F12" s="11">
        <f t="shared" si="2"/>
        <v>4.3599999999999994</v>
      </c>
      <c r="G12" s="3">
        <v>1.03</v>
      </c>
      <c r="H12" s="1"/>
      <c r="I12" s="3">
        <v>3</v>
      </c>
      <c r="J12" s="3">
        <v>6.53</v>
      </c>
      <c r="K12" s="3">
        <v>21</v>
      </c>
      <c r="L12" s="4">
        <f t="shared" si="13"/>
        <v>14.469999999999999</v>
      </c>
      <c r="M12" s="9">
        <f t="shared" si="3"/>
        <v>0.68904761904761902</v>
      </c>
      <c r="N12" s="11">
        <f t="shared" si="4"/>
        <v>-14.469999999999999</v>
      </c>
      <c r="O12" s="3">
        <v>1.03</v>
      </c>
      <c r="P12" s="1"/>
      <c r="Q12" s="3">
        <v>3</v>
      </c>
      <c r="R12" s="3">
        <v>144.65</v>
      </c>
      <c r="S12" s="3">
        <v>174</v>
      </c>
      <c r="T12" s="4">
        <f t="shared" si="14"/>
        <v>29.349999999999994</v>
      </c>
      <c r="U12" s="9">
        <f t="shared" si="5"/>
        <v>0.16867816091954019</v>
      </c>
      <c r="V12" s="11">
        <f t="shared" si="6"/>
        <v>-29.349999999999994</v>
      </c>
      <c r="W12" s="3">
        <v>1.22</v>
      </c>
      <c r="X12" s="1"/>
      <c r="Y12" s="3">
        <v>3</v>
      </c>
      <c r="Z12" s="3">
        <v>26.69</v>
      </c>
      <c r="AA12" s="8">
        <v>154</v>
      </c>
      <c r="AB12" s="4">
        <f t="shared" si="15"/>
        <v>127.31</v>
      </c>
      <c r="AC12" s="9">
        <f t="shared" si="7"/>
        <v>0.82668831168831169</v>
      </c>
      <c r="AD12" s="11">
        <f t="shared" si="8"/>
        <v>-127.31</v>
      </c>
      <c r="AE12" s="5">
        <v>1.01</v>
      </c>
      <c r="AG12" s="3">
        <v>3</v>
      </c>
      <c r="AH12" s="3">
        <v>162.43</v>
      </c>
      <c r="AI12" s="3">
        <v>21</v>
      </c>
      <c r="AJ12" s="4">
        <f t="shared" si="16"/>
        <v>141.43</v>
      </c>
      <c r="AK12" s="9">
        <f t="shared" si="9"/>
        <v>6.7347619047619052</v>
      </c>
      <c r="AL12" s="11">
        <f t="shared" si="10"/>
        <v>141.43</v>
      </c>
      <c r="AM12" s="5">
        <v>1.1200000000000001</v>
      </c>
      <c r="AO12" s="3">
        <v>3</v>
      </c>
      <c r="AP12" s="3">
        <v>62.08</v>
      </c>
      <c r="AQ12" s="8">
        <v>154</v>
      </c>
      <c r="AR12" s="4">
        <f t="shared" si="17"/>
        <v>91.92</v>
      </c>
      <c r="AS12" s="9">
        <f t="shared" si="11"/>
        <v>0.5968831168831169</v>
      </c>
      <c r="AT12" s="11">
        <f t="shared" si="12"/>
        <v>-91.92</v>
      </c>
      <c r="AU12" s="5">
        <v>2.39</v>
      </c>
    </row>
    <row r="13" spans="1:47" ht="18" x14ac:dyDescent="0.3">
      <c r="A13" s="3">
        <v>4</v>
      </c>
      <c r="B13" s="3">
        <v>27.53</v>
      </c>
      <c r="C13" s="3">
        <v>20</v>
      </c>
      <c r="D13" s="4">
        <f t="shared" si="0"/>
        <v>7.5300000000000011</v>
      </c>
      <c r="E13" s="9">
        <f t="shared" si="1"/>
        <v>0.37650000000000006</v>
      </c>
      <c r="F13" s="11">
        <f t="shared" si="2"/>
        <v>7.5300000000000011</v>
      </c>
      <c r="G13" s="3">
        <v>1.02</v>
      </c>
      <c r="H13" s="1"/>
      <c r="I13" s="3">
        <v>4</v>
      </c>
      <c r="J13" s="5">
        <v>6.42</v>
      </c>
      <c r="K13" s="3">
        <v>21</v>
      </c>
      <c r="L13" s="4">
        <f t="shared" si="13"/>
        <v>14.58</v>
      </c>
      <c r="M13" s="9">
        <f t="shared" si="3"/>
        <v>0.69428571428571428</v>
      </c>
      <c r="N13" s="11">
        <f t="shared" si="4"/>
        <v>-14.58</v>
      </c>
      <c r="O13" s="3">
        <v>1.04</v>
      </c>
      <c r="P13" s="1"/>
      <c r="Q13" s="3">
        <v>4</v>
      </c>
      <c r="R13" s="3">
        <v>149.13</v>
      </c>
      <c r="S13" s="3">
        <v>163</v>
      </c>
      <c r="T13" s="4">
        <f t="shared" si="14"/>
        <v>13.870000000000005</v>
      </c>
      <c r="U13" s="9">
        <f t="shared" si="5"/>
        <v>8.5092024539877326E-2</v>
      </c>
      <c r="V13" s="11">
        <f t="shared" si="6"/>
        <v>-13.870000000000005</v>
      </c>
      <c r="W13" s="3">
        <v>1.25</v>
      </c>
      <c r="X13" s="1"/>
      <c r="Y13" s="3">
        <v>4</v>
      </c>
      <c r="Z13" s="3">
        <v>27.18</v>
      </c>
      <c r="AA13" s="8">
        <v>154</v>
      </c>
      <c r="AB13" s="4">
        <f t="shared" si="15"/>
        <v>126.82</v>
      </c>
      <c r="AC13" s="9">
        <f t="shared" si="7"/>
        <v>0.82350649350649341</v>
      </c>
      <c r="AD13" s="11">
        <f t="shared" si="8"/>
        <v>-126.82</v>
      </c>
      <c r="AE13" s="5">
        <v>1.01</v>
      </c>
      <c r="AG13" s="3">
        <v>4</v>
      </c>
      <c r="AH13" s="3">
        <v>150.97999999999999</v>
      </c>
      <c r="AI13" s="3">
        <v>20</v>
      </c>
      <c r="AJ13" s="4">
        <f t="shared" si="16"/>
        <v>130.97999999999999</v>
      </c>
      <c r="AK13" s="9">
        <f>ABS(AH13-AI13)/AI13</f>
        <v>6.5489999999999995</v>
      </c>
      <c r="AL13" s="11">
        <f t="shared" si="10"/>
        <v>130.97999999999999</v>
      </c>
      <c r="AM13" s="5">
        <v>1.19</v>
      </c>
      <c r="AO13" s="3">
        <v>4</v>
      </c>
      <c r="AP13" s="3">
        <v>66.45</v>
      </c>
      <c r="AQ13" s="8">
        <v>154</v>
      </c>
      <c r="AR13" s="4">
        <f t="shared" si="17"/>
        <v>87.55</v>
      </c>
      <c r="AS13" s="9">
        <f t="shared" si="11"/>
        <v>0.56850649350649352</v>
      </c>
      <c r="AT13" s="11">
        <f t="shared" si="12"/>
        <v>-87.55</v>
      </c>
      <c r="AU13" s="5">
        <v>2.23</v>
      </c>
    </row>
    <row r="14" spans="1:47" ht="18" x14ac:dyDescent="0.3">
      <c r="A14" s="3">
        <v>5</v>
      </c>
      <c r="B14" s="3">
        <v>24.78</v>
      </c>
      <c r="C14" s="3">
        <v>20</v>
      </c>
      <c r="D14" s="4">
        <f t="shared" si="0"/>
        <v>4.7800000000000011</v>
      </c>
      <c r="E14" s="9">
        <f t="shared" si="1"/>
        <v>0.23900000000000005</v>
      </c>
      <c r="F14" s="11">
        <f t="shared" si="2"/>
        <v>4.7800000000000011</v>
      </c>
      <c r="G14" s="3">
        <v>1.02</v>
      </c>
      <c r="H14" s="1"/>
      <c r="I14" s="3">
        <v>5</v>
      </c>
      <c r="J14" s="3">
        <v>5.32</v>
      </c>
      <c r="K14" s="3">
        <v>20</v>
      </c>
      <c r="L14" s="4">
        <f t="shared" si="13"/>
        <v>14.68</v>
      </c>
      <c r="M14" s="9">
        <f t="shared" si="3"/>
        <v>0.73399999999999999</v>
      </c>
      <c r="N14" s="11">
        <f t="shared" si="4"/>
        <v>-14.68</v>
      </c>
      <c r="O14" s="3">
        <v>1.03</v>
      </c>
      <c r="P14" s="1"/>
      <c r="Q14" s="3">
        <v>5</v>
      </c>
      <c r="R14" s="3">
        <v>149.85</v>
      </c>
      <c r="S14" s="3">
        <v>157</v>
      </c>
      <c r="T14" s="4">
        <f t="shared" si="14"/>
        <v>7.1500000000000057</v>
      </c>
      <c r="U14" s="9">
        <f t="shared" si="5"/>
        <v>4.5541401273885389E-2</v>
      </c>
      <c r="V14" s="11">
        <f t="shared" si="6"/>
        <v>-7.1500000000000057</v>
      </c>
      <c r="W14" s="3">
        <v>1.21</v>
      </c>
      <c r="X14" s="1"/>
      <c r="Y14" s="3">
        <v>5</v>
      </c>
      <c r="Z14" s="3">
        <v>25.97</v>
      </c>
      <c r="AA14" s="8">
        <v>160</v>
      </c>
      <c r="AB14" s="4">
        <f t="shared" si="15"/>
        <v>134.03</v>
      </c>
      <c r="AC14" s="9">
        <f t="shared" si="7"/>
        <v>0.83768750000000003</v>
      </c>
      <c r="AD14" s="11">
        <f t="shared" si="8"/>
        <v>-134.03</v>
      </c>
      <c r="AE14" s="5">
        <v>1.01</v>
      </c>
      <c r="AG14" s="3">
        <v>5</v>
      </c>
      <c r="AH14" s="3">
        <v>109.51</v>
      </c>
      <c r="AI14" s="3">
        <v>20</v>
      </c>
      <c r="AJ14" s="4">
        <f t="shared" si="16"/>
        <v>89.51</v>
      </c>
      <c r="AK14" s="9">
        <f t="shared" si="9"/>
        <v>4.4755000000000003</v>
      </c>
      <c r="AL14" s="11">
        <f t="shared" si="10"/>
        <v>89.51</v>
      </c>
      <c r="AM14" s="5">
        <v>1.2</v>
      </c>
      <c r="AO14" s="3">
        <v>5</v>
      </c>
      <c r="AP14" s="3">
        <v>70.010000000000005</v>
      </c>
      <c r="AQ14" s="8">
        <v>160</v>
      </c>
      <c r="AR14" s="4">
        <f t="shared" si="17"/>
        <v>89.99</v>
      </c>
      <c r="AS14" s="9">
        <f t="shared" si="11"/>
        <v>0.56243749999999992</v>
      </c>
      <c r="AT14" s="11">
        <f t="shared" si="12"/>
        <v>-89.99</v>
      </c>
      <c r="AU14" s="5">
        <v>2.17</v>
      </c>
    </row>
    <row r="15" spans="1:47" ht="18" x14ac:dyDescent="0.3">
      <c r="A15" s="3">
        <v>6</v>
      </c>
      <c r="B15" s="3">
        <v>16.36</v>
      </c>
      <c r="C15" s="3">
        <v>20</v>
      </c>
      <c r="D15" s="4">
        <f t="shared" si="0"/>
        <v>3.6400000000000006</v>
      </c>
      <c r="E15" s="9">
        <f t="shared" si="1"/>
        <v>0.18200000000000002</v>
      </c>
      <c r="F15" s="11">
        <f t="shared" si="2"/>
        <v>-3.6400000000000006</v>
      </c>
      <c r="G15" s="3">
        <v>1.01</v>
      </c>
      <c r="H15" s="1"/>
      <c r="I15" s="3">
        <v>6</v>
      </c>
      <c r="J15" s="3">
        <v>6.48</v>
      </c>
      <c r="K15" s="3">
        <v>21</v>
      </c>
      <c r="L15" s="4">
        <f t="shared" si="13"/>
        <v>14.52</v>
      </c>
      <c r="M15" s="9">
        <f t="shared" si="3"/>
        <v>0.69142857142857139</v>
      </c>
      <c r="N15" s="11">
        <f t="shared" si="4"/>
        <v>-14.52</v>
      </c>
      <c r="O15" s="3">
        <v>1.03</v>
      </c>
      <c r="P15" s="1"/>
      <c r="Q15" s="3">
        <v>6</v>
      </c>
      <c r="R15" s="3">
        <v>162.22</v>
      </c>
      <c r="S15" s="3">
        <v>172</v>
      </c>
      <c r="T15" s="4">
        <f t="shared" si="14"/>
        <v>9.7800000000000011</v>
      </c>
      <c r="U15" s="9">
        <f t="shared" si="5"/>
        <v>5.6860465116279076E-2</v>
      </c>
      <c r="V15" s="11">
        <f t="shared" si="6"/>
        <v>-9.7800000000000011</v>
      </c>
      <c r="W15" s="5">
        <v>1.2</v>
      </c>
      <c r="X15" s="1"/>
      <c r="Y15" s="3">
        <v>6</v>
      </c>
      <c r="Z15" s="3">
        <v>33.35</v>
      </c>
      <c r="AA15" s="8">
        <v>156</v>
      </c>
      <c r="AB15" s="4">
        <f t="shared" si="15"/>
        <v>122.65</v>
      </c>
      <c r="AC15" s="9">
        <f t="shared" si="7"/>
        <v>0.7862179487179487</v>
      </c>
      <c r="AD15" s="11">
        <f t="shared" si="8"/>
        <v>-122.65</v>
      </c>
      <c r="AE15" s="5">
        <v>1.01</v>
      </c>
      <c r="AG15" s="3">
        <v>6</v>
      </c>
      <c r="AH15" s="3">
        <v>102.99</v>
      </c>
      <c r="AI15" s="3">
        <v>20</v>
      </c>
      <c r="AJ15" s="4">
        <f t="shared" si="16"/>
        <v>82.99</v>
      </c>
      <c r="AK15" s="9">
        <f t="shared" si="9"/>
        <v>4.1494999999999997</v>
      </c>
      <c r="AL15" s="11">
        <f t="shared" si="10"/>
        <v>82.99</v>
      </c>
      <c r="AM15" s="5">
        <v>1.23</v>
      </c>
      <c r="AO15" s="3">
        <v>6</v>
      </c>
      <c r="AP15" s="3">
        <v>71.260000000000005</v>
      </c>
      <c r="AQ15" s="8">
        <v>156</v>
      </c>
      <c r="AR15" s="4">
        <f t="shared" si="17"/>
        <v>84.74</v>
      </c>
      <c r="AS15" s="9">
        <f t="shared" si="11"/>
        <v>0.54320512820512812</v>
      </c>
      <c r="AT15" s="11">
        <f t="shared" si="12"/>
        <v>-84.74</v>
      </c>
      <c r="AU15" s="5">
        <v>2.21</v>
      </c>
    </row>
    <row r="16" spans="1:47" ht="18" x14ac:dyDescent="0.3">
      <c r="A16" s="3">
        <v>7</v>
      </c>
      <c r="B16" s="3">
        <v>20.95</v>
      </c>
      <c r="C16" s="3">
        <v>20</v>
      </c>
      <c r="D16" s="4">
        <f t="shared" si="0"/>
        <v>0.94999999999999929</v>
      </c>
      <c r="E16" s="9">
        <f t="shared" si="1"/>
        <v>4.7499999999999966E-2</v>
      </c>
      <c r="F16" s="11">
        <f t="shared" si="2"/>
        <v>0.94999999999999929</v>
      </c>
      <c r="G16" s="3">
        <v>1.02</v>
      </c>
      <c r="H16" s="1"/>
      <c r="I16" s="3">
        <v>7</v>
      </c>
      <c r="J16" s="3">
        <v>6.03</v>
      </c>
      <c r="K16" s="3">
        <v>19</v>
      </c>
      <c r="L16" s="4">
        <f t="shared" si="13"/>
        <v>12.969999999999999</v>
      </c>
      <c r="M16" s="9">
        <f t="shared" si="3"/>
        <v>0.68263157894736837</v>
      </c>
      <c r="N16" s="11">
        <f t="shared" si="4"/>
        <v>-12.969999999999999</v>
      </c>
      <c r="O16" s="3">
        <v>1.03</v>
      </c>
      <c r="P16" s="1"/>
      <c r="Q16" s="3">
        <v>7</v>
      </c>
      <c r="R16" s="3">
        <v>141.91</v>
      </c>
      <c r="S16" s="3">
        <v>149</v>
      </c>
      <c r="T16" s="4">
        <f t="shared" si="14"/>
        <v>7.0900000000000034</v>
      </c>
      <c r="U16" s="9">
        <f t="shared" si="5"/>
        <v>4.7583892617449684E-2</v>
      </c>
      <c r="V16" s="11">
        <f t="shared" si="6"/>
        <v>-7.0900000000000034</v>
      </c>
      <c r="W16" s="3">
        <v>1.17</v>
      </c>
      <c r="X16" s="1"/>
      <c r="Y16" s="3">
        <v>7</v>
      </c>
      <c r="Z16" s="3">
        <v>26.38</v>
      </c>
      <c r="AA16" s="8">
        <v>153</v>
      </c>
      <c r="AB16" s="4">
        <f t="shared" si="15"/>
        <v>126.62</v>
      </c>
      <c r="AC16" s="9">
        <f t="shared" si="7"/>
        <v>0.82758169934640524</v>
      </c>
      <c r="AD16" s="11">
        <f t="shared" si="8"/>
        <v>-126.62</v>
      </c>
      <c r="AE16" s="5">
        <v>1.01</v>
      </c>
      <c r="AG16" s="3">
        <v>7</v>
      </c>
      <c r="AH16" s="3">
        <v>122.76</v>
      </c>
      <c r="AI16" s="3">
        <v>20</v>
      </c>
      <c r="AJ16" s="4">
        <f t="shared" si="16"/>
        <v>102.76</v>
      </c>
      <c r="AK16" s="9">
        <f t="shared" si="9"/>
        <v>5.1379999999999999</v>
      </c>
      <c r="AL16" s="11">
        <f t="shared" si="10"/>
        <v>102.76</v>
      </c>
      <c r="AM16" s="5">
        <v>1.27</v>
      </c>
      <c r="AO16" s="3">
        <v>7</v>
      </c>
      <c r="AP16" s="3">
        <v>63.48</v>
      </c>
      <c r="AQ16" s="8">
        <v>153</v>
      </c>
      <c r="AR16" s="4">
        <f t="shared" si="17"/>
        <v>89.52000000000001</v>
      </c>
      <c r="AS16" s="9">
        <f t="shared" si="11"/>
        <v>0.58509803921568637</v>
      </c>
      <c r="AT16" s="11">
        <f t="shared" si="12"/>
        <v>-89.52000000000001</v>
      </c>
      <c r="AU16" s="5">
        <v>2.31</v>
      </c>
    </row>
    <row r="17" spans="1:47" ht="18" x14ac:dyDescent="0.3">
      <c r="A17" s="3">
        <v>8</v>
      </c>
      <c r="B17" s="3">
        <v>33.71</v>
      </c>
      <c r="C17" s="3">
        <v>19</v>
      </c>
      <c r="D17" s="4">
        <f t="shared" si="0"/>
        <v>14.71</v>
      </c>
      <c r="E17" s="9">
        <f t="shared" si="1"/>
        <v>0.77421052631578957</v>
      </c>
      <c r="F17" s="11">
        <f t="shared" si="2"/>
        <v>14.71</v>
      </c>
      <c r="G17" s="3">
        <v>1.01</v>
      </c>
      <c r="H17" s="1"/>
      <c r="I17" s="3">
        <v>8</v>
      </c>
      <c r="J17" s="3">
        <v>5.41</v>
      </c>
      <c r="K17" s="3">
        <v>20</v>
      </c>
      <c r="L17" s="4">
        <f t="shared" si="13"/>
        <v>14.59</v>
      </c>
      <c r="M17" s="9">
        <f t="shared" si="3"/>
        <v>0.72950000000000004</v>
      </c>
      <c r="N17" s="11">
        <f t="shared" si="4"/>
        <v>-14.59</v>
      </c>
      <c r="O17" s="3">
        <v>1.05</v>
      </c>
      <c r="P17" s="1"/>
      <c r="Q17" s="3">
        <v>8</v>
      </c>
      <c r="R17" s="3">
        <v>169.35</v>
      </c>
      <c r="S17" s="3">
        <v>166</v>
      </c>
      <c r="T17" s="4">
        <f t="shared" si="14"/>
        <v>3.3499999999999943</v>
      </c>
      <c r="U17" s="9">
        <f t="shared" si="5"/>
        <v>2.0180722891566232E-2</v>
      </c>
      <c r="V17" s="11">
        <f t="shared" si="6"/>
        <v>3.3499999999999943</v>
      </c>
      <c r="W17" s="3">
        <v>1.1200000000000001</v>
      </c>
      <c r="X17" s="1"/>
      <c r="Y17" s="3">
        <v>8</v>
      </c>
      <c r="Z17" s="3">
        <v>26.03</v>
      </c>
      <c r="AA17" s="8">
        <v>160</v>
      </c>
      <c r="AB17" s="4">
        <f t="shared" si="15"/>
        <v>133.97</v>
      </c>
      <c r="AC17" s="9">
        <f t="shared" si="7"/>
        <v>0.83731250000000002</v>
      </c>
      <c r="AD17" s="11">
        <f t="shared" si="8"/>
        <v>-133.97</v>
      </c>
      <c r="AE17" s="5">
        <v>1.01</v>
      </c>
      <c r="AG17" s="3">
        <v>8</v>
      </c>
      <c r="AH17" s="3">
        <v>93.87</v>
      </c>
      <c r="AI17" s="3">
        <v>21</v>
      </c>
      <c r="AJ17" s="4">
        <f t="shared" si="16"/>
        <v>72.87</v>
      </c>
      <c r="AK17" s="9">
        <f t="shared" si="9"/>
        <v>3.47</v>
      </c>
      <c r="AL17" s="11">
        <f t="shared" si="10"/>
        <v>72.87</v>
      </c>
      <c r="AM17" s="5">
        <v>1.17</v>
      </c>
      <c r="AO17" s="3">
        <v>8</v>
      </c>
      <c r="AP17" s="3">
        <v>61.11</v>
      </c>
      <c r="AQ17" s="8">
        <v>160</v>
      </c>
      <c r="AR17" s="4">
        <f t="shared" si="17"/>
        <v>98.89</v>
      </c>
      <c r="AS17" s="9">
        <f t="shared" si="11"/>
        <v>0.61806249999999996</v>
      </c>
      <c r="AT17" s="11">
        <f t="shared" si="12"/>
        <v>-98.89</v>
      </c>
      <c r="AU17" s="5">
        <v>2.2400000000000002</v>
      </c>
    </row>
    <row r="18" spans="1:47" ht="18" x14ac:dyDescent="0.3">
      <c r="A18" s="3">
        <v>9</v>
      </c>
      <c r="B18" s="3">
        <v>26.44</v>
      </c>
      <c r="C18" s="3">
        <v>19</v>
      </c>
      <c r="D18" s="4">
        <f t="shared" si="0"/>
        <v>7.4400000000000013</v>
      </c>
      <c r="E18" s="9">
        <f t="shared" si="1"/>
        <v>0.39157894736842114</v>
      </c>
      <c r="F18" s="11">
        <f t="shared" si="2"/>
        <v>7.4400000000000013</v>
      </c>
      <c r="G18" s="3">
        <v>1.01</v>
      </c>
      <c r="H18" s="1"/>
      <c r="I18" s="3">
        <v>9</v>
      </c>
      <c r="J18" s="3">
        <v>5.85</v>
      </c>
      <c r="K18" s="3">
        <v>20</v>
      </c>
      <c r="L18" s="4">
        <f t="shared" si="13"/>
        <v>14.15</v>
      </c>
      <c r="M18" s="9">
        <f t="shared" si="3"/>
        <v>0.70750000000000002</v>
      </c>
      <c r="N18" s="11">
        <f t="shared" si="4"/>
        <v>-14.15</v>
      </c>
      <c r="O18" s="3">
        <v>1.04</v>
      </c>
      <c r="P18" s="1"/>
      <c r="Q18" s="3">
        <v>9</v>
      </c>
      <c r="R18" s="3">
        <v>186.51</v>
      </c>
      <c r="S18" s="3">
        <v>174</v>
      </c>
      <c r="T18" s="4">
        <f t="shared" si="14"/>
        <v>12.509999999999991</v>
      </c>
      <c r="U18" s="9">
        <f t="shared" si="5"/>
        <v>7.1896551724137878E-2</v>
      </c>
      <c r="V18" s="11">
        <f t="shared" si="6"/>
        <v>12.509999999999991</v>
      </c>
      <c r="W18" s="3">
        <v>1.1100000000000001</v>
      </c>
      <c r="X18" s="1"/>
      <c r="Y18" s="3">
        <v>9</v>
      </c>
      <c r="Z18" s="3">
        <v>28.21</v>
      </c>
      <c r="AA18" s="8">
        <v>166</v>
      </c>
      <c r="AB18" s="4">
        <f t="shared" si="15"/>
        <v>137.79</v>
      </c>
      <c r="AC18" s="9">
        <f t="shared" si="7"/>
        <v>0.83006024096385533</v>
      </c>
      <c r="AD18" s="11">
        <f t="shared" si="8"/>
        <v>-137.79</v>
      </c>
      <c r="AE18" s="5">
        <v>1.01</v>
      </c>
      <c r="AG18" s="3">
        <v>9</v>
      </c>
      <c r="AH18" s="3">
        <v>123.33</v>
      </c>
      <c r="AI18" s="3">
        <v>21</v>
      </c>
      <c r="AJ18" s="4">
        <f t="shared" si="16"/>
        <v>102.33</v>
      </c>
      <c r="AK18" s="9">
        <f t="shared" si="9"/>
        <v>4.8728571428571428</v>
      </c>
      <c r="AL18" s="11">
        <f t="shared" si="10"/>
        <v>102.33</v>
      </c>
      <c r="AM18" s="5">
        <v>1.19</v>
      </c>
      <c r="AO18" s="3">
        <v>9</v>
      </c>
      <c r="AP18" s="3">
        <v>80.22</v>
      </c>
      <c r="AQ18" s="8">
        <v>166</v>
      </c>
      <c r="AR18" s="4">
        <f t="shared" si="17"/>
        <v>85.78</v>
      </c>
      <c r="AS18" s="9">
        <f t="shared" si="11"/>
        <v>0.51674698795180729</v>
      </c>
      <c r="AT18" s="11">
        <f t="shared" si="12"/>
        <v>-85.78</v>
      </c>
      <c r="AU18" s="5">
        <v>1.91</v>
      </c>
    </row>
    <row r="19" spans="1:47" ht="18" x14ac:dyDescent="0.3">
      <c r="A19" s="3">
        <v>10</v>
      </c>
      <c r="B19" s="5">
        <v>21.04</v>
      </c>
      <c r="C19" s="3">
        <v>20</v>
      </c>
      <c r="D19" s="4">
        <f t="shared" si="0"/>
        <v>1.0399999999999991</v>
      </c>
      <c r="E19" s="9">
        <f t="shared" si="1"/>
        <v>5.1999999999999956E-2</v>
      </c>
      <c r="F19" s="11">
        <f t="shared" si="2"/>
        <v>1.0399999999999991</v>
      </c>
      <c r="G19" s="3">
        <v>1.01</v>
      </c>
      <c r="H19" s="1"/>
      <c r="I19" s="3">
        <v>10</v>
      </c>
      <c r="J19" s="5">
        <v>6.15</v>
      </c>
      <c r="K19" s="3">
        <v>20</v>
      </c>
      <c r="L19" s="4">
        <f t="shared" si="13"/>
        <v>13.85</v>
      </c>
      <c r="M19" s="9">
        <f t="shared" si="3"/>
        <v>0.6925</v>
      </c>
      <c r="N19" s="11">
        <f t="shared" si="4"/>
        <v>-13.85</v>
      </c>
      <c r="O19" s="3">
        <v>1.02</v>
      </c>
      <c r="P19" s="1"/>
      <c r="Q19" s="3">
        <v>10</v>
      </c>
      <c r="R19" s="5">
        <v>140.18</v>
      </c>
      <c r="S19" s="3">
        <v>172</v>
      </c>
      <c r="T19" s="4">
        <f t="shared" si="14"/>
        <v>31.819999999999993</v>
      </c>
      <c r="U19" s="9">
        <f t="shared" si="5"/>
        <v>0.18499999999999997</v>
      </c>
      <c r="V19" s="11">
        <f t="shared" si="6"/>
        <v>-31.819999999999993</v>
      </c>
      <c r="W19" s="3">
        <v>1.24</v>
      </c>
      <c r="X19" s="1"/>
      <c r="Y19" s="3">
        <v>10</v>
      </c>
      <c r="Z19" s="5">
        <v>30.3</v>
      </c>
      <c r="AA19" s="8">
        <v>156</v>
      </c>
      <c r="AB19" s="4">
        <f t="shared" si="15"/>
        <v>125.7</v>
      </c>
      <c r="AC19" s="9">
        <f t="shared" si="7"/>
        <v>0.80576923076923079</v>
      </c>
      <c r="AD19" s="11">
        <f t="shared" si="8"/>
        <v>-125.7</v>
      </c>
      <c r="AE19" s="5">
        <v>1.01</v>
      </c>
      <c r="AG19" s="3">
        <v>10</v>
      </c>
      <c r="AH19" s="5">
        <v>85.65</v>
      </c>
      <c r="AI19" s="3">
        <v>20</v>
      </c>
      <c r="AJ19" s="4">
        <f t="shared" si="16"/>
        <v>65.650000000000006</v>
      </c>
      <c r="AK19" s="9">
        <f t="shared" si="9"/>
        <v>3.2825000000000002</v>
      </c>
      <c r="AL19" s="11">
        <f t="shared" si="10"/>
        <v>65.650000000000006</v>
      </c>
      <c r="AM19" s="5">
        <v>1.45</v>
      </c>
      <c r="AO19" s="3">
        <v>10</v>
      </c>
      <c r="AP19" s="5">
        <v>71.239999999999995</v>
      </c>
      <c r="AQ19" s="8">
        <v>156</v>
      </c>
      <c r="AR19" s="4">
        <f t="shared" si="17"/>
        <v>84.76</v>
      </c>
      <c r="AS19" s="9">
        <f t="shared" si="11"/>
        <v>0.54333333333333333</v>
      </c>
      <c r="AT19" s="11">
        <f t="shared" si="12"/>
        <v>-84.76</v>
      </c>
      <c r="AU19" s="5">
        <v>2.12</v>
      </c>
    </row>
    <row r="20" spans="1:47" ht="18" x14ac:dyDescent="0.3">
      <c r="A20" s="1"/>
      <c r="B20" s="1"/>
      <c r="C20" s="1"/>
      <c r="D20" s="6" t="str">
        <f>ROUND(AVERAGE(D10:D19),3)&amp; "±" &amp;ROUND(_xlfn.STDEV.S(D10:D19),2)</f>
        <v>6.117±4.1</v>
      </c>
      <c r="E20" s="10" t="str">
        <f>TEXT(AVERAGE(E10:E19),"0.00%") &amp; "±" &amp; TEXT(_xlfn.STDEV.S(E10:E19),"0.00%")</f>
        <v>31.17%±21.48%</v>
      </c>
      <c r="F20" s="6" t="str">
        <f>ROUND(AVERAGE(F10:F19),3)&amp; "±" &amp;ROUND(_xlfn.STDEV.S(F10:F19),2)</f>
        <v>5.389±5.11</v>
      </c>
      <c r="G20" s="6">
        <f>AVERAGE(G10:G19)</f>
        <v>1.0179999999999998</v>
      </c>
      <c r="H20" s="1"/>
      <c r="I20" s="1"/>
      <c r="J20" s="1"/>
      <c r="K20" s="1"/>
      <c r="L20" s="6" t="str">
        <f>ROUND(AVERAGE(L10:L19),3)&amp; "±" &amp;ROUND(_xlfn.STDEV.S(L10:L19),2)</f>
        <v>14.331±0.7</v>
      </c>
      <c r="M20" s="10" t="str">
        <f>TEXT(AVERAGE(M10:M19),"0.00%") &amp; "±" &amp; TEXT(_xlfn.STDEV.S(M10:M19),"0.00%")</f>
        <v>70.25%±1.77%</v>
      </c>
      <c r="N20" s="6" t="str">
        <f>ROUND(AVERAGE(N10:N19),3)&amp; "±" &amp;ROUND(_xlfn.STDEV.S(N10:N19),2)</f>
        <v>-14.331±0.7</v>
      </c>
      <c r="O20" s="6">
        <f>AVERAGE(O10:O19)</f>
        <v>1.0310000000000001</v>
      </c>
      <c r="P20" s="1"/>
      <c r="Q20" s="1"/>
      <c r="R20" s="1"/>
      <c r="S20" s="1"/>
      <c r="T20" s="6" t="str">
        <f>ROUND(AVERAGE(T10:T19),3)&amp; "±" &amp;ROUND(_xlfn.STDEV.S(T10:T19),2)</f>
        <v>12.577±10.16</v>
      </c>
      <c r="U20" s="10" t="str">
        <f>TEXT(AVERAGE(U10:U19),"0.00%") &amp; "±" &amp; TEXT(_xlfn.STDEV.S(U10:U19),"0.00%")</f>
        <v>7.49%±5.79%</v>
      </c>
      <c r="V20" s="6" t="str">
        <f>ROUND(AVERAGE(V10:V19),3)&amp; "±" &amp;ROUND(_xlfn.STDEV.S(V10:V19),2)</f>
        <v>-7.235±14.86</v>
      </c>
      <c r="W20" s="6">
        <f>AVERAGE(W10:W19)</f>
        <v>1.179</v>
      </c>
      <c r="X20" s="1"/>
      <c r="Y20" s="1"/>
      <c r="Z20" s="1"/>
      <c r="AA20" s="1"/>
      <c r="AB20" s="6" t="str">
        <f>ROUND(AVERAGE(AB10:AB19),3)&amp; "±" &amp;ROUND(_xlfn.STDEV.S(AB10:AB19),2)</f>
        <v>129.731±4.69</v>
      </c>
      <c r="AC20" s="10" t="str">
        <f>TEXT(AVERAGE(AC10:AC19),"0.00%") &amp; "±" &amp; TEXT(_xlfn.STDEV.S(AC10:AC19),"0.00%")</f>
        <v>82.25%±1.56%</v>
      </c>
      <c r="AD20" s="6" t="str">
        <f>ROUND(AVERAGE(AD10:AD19),3)&amp; "±" &amp;ROUND(_xlfn.STDEV.S(AD10:AD19),2)</f>
        <v>-129.731±4.69</v>
      </c>
      <c r="AE20" s="6">
        <f>AVERAGE(AE10:AE19)</f>
        <v>1.01</v>
      </c>
      <c r="AG20" s="1"/>
      <c r="AH20" s="1"/>
      <c r="AI20" s="1"/>
      <c r="AJ20" s="6" t="str">
        <f>ROUND(AVERAGE(AJ10:AJ19),3)&amp; "±" &amp;ROUND(_xlfn.STDEV.S(AJ10:AJ19),2)</f>
        <v>101.477±25.4</v>
      </c>
      <c r="AK20" s="10" t="str">
        <f>TEXT(AVERAGE(AK10:AK19),"0.00%") &amp; "±" &amp; TEXT(_xlfn.STDEV.S(AK10:AK19),"0.00%")</f>
        <v>500.90%±129.00%</v>
      </c>
      <c r="AL20" s="6" t="str">
        <f>ROUND(AVERAGE(AL10:AL19),3)&amp; "±" &amp;ROUND(_xlfn.STDEV.S(AL10:AL19),2)</f>
        <v>101.477±25.4</v>
      </c>
      <c r="AM20" s="6">
        <f>AVERAGE(AM10:AM19)</f>
        <v>1.222</v>
      </c>
      <c r="AO20" s="1"/>
      <c r="AP20" s="1"/>
      <c r="AQ20" s="1"/>
      <c r="AR20" s="6" t="str">
        <f>ROUND(AVERAGE(AR10:AR19),3)&amp; "±" &amp;ROUND(_xlfn.STDEV.S(AR10:AR19),2)</f>
        <v>90.493±5.3</v>
      </c>
      <c r="AS20" s="10" t="str">
        <f>TEXT(AVERAGE(AS10:AS19),"0.00%") &amp; "±" &amp; TEXT(_xlfn.STDEV.S(AS10:AS19),"0.00%")</f>
        <v>57.41%±3.55%</v>
      </c>
      <c r="AT20" s="6" t="str">
        <f>ROUND(AVERAGE(AT10:AT19),3)&amp; "±" &amp;ROUND(_xlfn.STDEV.S(AT10:AT19),2)</f>
        <v>-90.493±5.3</v>
      </c>
      <c r="AU20" s="6">
        <f>AVERAGE(AU10:AU19)</f>
        <v>2.2020000000000004</v>
      </c>
    </row>
    <row r="21" spans="1:47" ht="1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47" ht="18" x14ac:dyDescent="0.3">
      <c r="A22" s="30" t="s">
        <v>7</v>
      </c>
      <c r="B22" s="30"/>
      <c r="C22" s="30"/>
      <c r="D22" s="30"/>
      <c r="E22" s="30"/>
      <c r="F22" s="30"/>
      <c r="G22" s="30"/>
      <c r="H22" s="1"/>
      <c r="I22" s="24" t="s">
        <v>13</v>
      </c>
      <c r="J22" s="24"/>
      <c r="K22" s="24"/>
      <c r="L22" s="24"/>
      <c r="M22" s="24"/>
      <c r="N22" s="24"/>
      <c r="O22" s="24"/>
      <c r="P22" s="1"/>
      <c r="Q22" s="27" t="s">
        <v>18</v>
      </c>
      <c r="R22" s="27"/>
      <c r="S22" s="27"/>
      <c r="T22" s="27"/>
      <c r="U22" s="27"/>
      <c r="V22" s="27"/>
      <c r="W22" s="27"/>
      <c r="Y22" s="16" t="s">
        <v>22</v>
      </c>
      <c r="Z22" s="16"/>
      <c r="AA22" s="16"/>
      <c r="AB22" s="16"/>
      <c r="AC22" s="16"/>
      <c r="AD22" s="16"/>
      <c r="AE22" s="16"/>
      <c r="AG22" s="16" t="s">
        <v>30</v>
      </c>
      <c r="AH22" s="16"/>
      <c r="AI22" s="16"/>
      <c r="AJ22" s="16"/>
      <c r="AK22" s="16"/>
      <c r="AL22" s="16"/>
      <c r="AM22" s="16"/>
      <c r="AO22" s="16" t="s">
        <v>28</v>
      </c>
      <c r="AP22" s="16"/>
      <c r="AQ22" s="16"/>
      <c r="AR22" s="16"/>
      <c r="AS22" s="16"/>
      <c r="AT22" s="16"/>
      <c r="AU22" s="16"/>
    </row>
    <row r="23" spans="1:47" ht="18" x14ac:dyDescent="0.3">
      <c r="A23" s="2" t="s">
        <v>2</v>
      </c>
      <c r="B23" s="2" t="s">
        <v>3</v>
      </c>
      <c r="C23" s="2" t="s">
        <v>4</v>
      </c>
      <c r="D23" s="2" t="s">
        <v>5</v>
      </c>
      <c r="E23" s="2" t="s">
        <v>19</v>
      </c>
      <c r="F23" s="2" t="s">
        <v>20</v>
      </c>
      <c r="G23" s="2" t="s">
        <v>6</v>
      </c>
      <c r="H23" s="1"/>
      <c r="I23" s="2" t="s">
        <v>2</v>
      </c>
      <c r="J23" s="2" t="s">
        <v>3</v>
      </c>
      <c r="K23" s="2" t="s">
        <v>4</v>
      </c>
      <c r="L23" s="2" t="s">
        <v>5</v>
      </c>
      <c r="M23" s="2" t="s">
        <v>19</v>
      </c>
      <c r="N23" s="2" t="s">
        <v>20</v>
      </c>
      <c r="O23" s="2" t="s">
        <v>6</v>
      </c>
      <c r="P23" s="1"/>
      <c r="Q23" s="2" t="s">
        <v>2</v>
      </c>
      <c r="R23" s="2" t="s">
        <v>3</v>
      </c>
      <c r="S23" s="2" t="s">
        <v>4</v>
      </c>
      <c r="T23" s="2" t="s">
        <v>5</v>
      </c>
      <c r="U23" s="2" t="s">
        <v>19</v>
      </c>
      <c r="V23" s="2" t="s">
        <v>20</v>
      </c>
      <c r="W23" s="2" t="s">
        <v>6</v>
      </c>
      <c r="Y23" s="2" t="s">
        <v>2</v>
      </c>
      <c r="Z23" s="2" t="s">
        <v>3</v>
      </c>
      <c r="AA23" s="2" t="s">
        <v>4</v>
      </c>
      <c r="AB23" s="2" t="s">
        <v>5</v>
      </c>
      <c r="AC23" s="2" t="s">
        <v>19</v>
      </c>
      <c r="AD23" s="2" t="s">
        <v>20</v>
      </c>
      <c r="AE23" s="2" t="s">
        <v>6</v>
      </c>
      <c r="AG23" s="2" t="s">
        <v>2</v>
      </c>
      <c r="AH23" s="2" t="s">
        <v>3</v>
      </c>
      <c r="AI23" s="2" t="s">
        <v>4</v>
      </c>
      <c r="AJ23" s="2" t="s">
        <v>5</v>
      </c>
      <c r="AK23" s="2" t="s">
        <v>19</v>
      </c>
      <c r="AL23" s="2" t="s">
        <v>20</v>
      </c>
      <c r="AM23" s="2" t="s">
        <v>6</v>
      </c>
      <c r="AO23" s="2" t="s">
        <v>2</v>
      </c>
      <c r="AP23" s="2" t="s">
        <v>3</v>
      </c>
      <c r="AQ23" s="2" t="s">
        <v>4</v>
      </c>
      <c r="AR23" s="2" t="s">
        <v>5</v>
      </c>
      <c r="AS23" s="2" t="s">
        <v>19</v>
      </c>
      <c r="AT23" s="2" t="s">
        <v>20</v>
      </c>
      <c r="AU23" s="2" t="s">
        <v>6</v>
      </c>
    </row>
    <row r="24" spans="1:47" ht="18" x14ac:dyDescent="0.3">
      <c r="A24" s="3">
        <v>1</v>
      </c>
      <c r="B24" s="5">
        <v>28.7</v>
      </c>
      <c r="C24" s="3">
        <v>20</v>
      </c>
      <c r="D24" s="4">
        <f t="shared" ref="D24:D33" si="18">ABS(B24-C24)</f>
        <v>8.6999999999999993</v>
      </c>
      <c r="E24" s="9">
        <f t="shared" ref="E24:E33" si="19">ABS(B24-C24)/C24</f>
        <v>0.43499999999999994</v>
      </c>
      <c r="F24" s="11">
        <f t="shared" ref="F24:F33" si="20">B24-C24</f>
        <v>8.6999999999999993</v>
      </c>
      <c r="G24" s="3">
        <v>1.01</v>
      </c>
      <c r="H24" s="1"/>
      <c r="I24" s="3">
        <v>1</v>
      </c>
      <c r="J24" s="3">
        <v>9.6300000000000008</v>
      </c>
      <c r="K24" s="3">
        <v>20</v>
      </c>
      <c r="L24" s="4">
        <f>ABS(J24-K24)</f>
        <v>10.37</v>
      </c>
      <c r="M24" s="9">
        <f t="shared" ref="M24:M33" si="21">ABS(J24-K24)/K24</f>
        <v>0.51849999999999996</v>
      </c>
      <c r="N24" s="11">
        <f t="shared" ref="N24:N33" si="22">J24-K24</f>
        <v>-10.37</v>
      </c>
      <c r="O24" s="3">
        <v>1.02</v>
      </c>
      <c r="P24" s="1"/>
      <c r="Q24" s="3">
        <v>1</v>
      </c>
      <c r="R24" s="3">
        <v>157.44999999999999</v>
      </c>
      <c r="S24" s="8">
        <v>157</v>
      </c>
      <c r="T24" s="4">
        <f>ABS(R24-S24)</f>
        <v>0.44999999999998863</v>
      </c>
      <c r="U24" s="9">
        <f t="shared" ref="U24:U33" si="23">ABS(R24-S24)/S24</f>
        <v>2.8662420382164879E-3</v>
      </c>
      <c r="V24" s="11">
        <f t="shared" ref="V24:V33" si="24">R24-S24</f>
        <v>0.44999999999998863</v>
      </c>
      <c r="W24" s="3">
        <v>1.79</v>
      </c>
      <c r="Y24" s="3">
        <v>1</v>
      </c>
      <c r="Z24" s="3">
        <v>24.68</v>
      </c>
      <c r="AA24" s="3">
        <v>165</v>
      </c>
      <c r="AB24" s="4">
        <f>ABS(Z24-AA24)</f>
        <v>140.32</v>
      </c>
      <c r="AC24" s="9">
        <f t="shared" ref="AC24:AC33" si="25">ABS(Z24-AA24)/AA24</f>
        <v>0.85042424242424242</v>
      </c>
      <c r="AD24" s="11">
        <f t="shared" ref="AD24:AD33" si="26">Z24-AA24</f>
        <v>-140.32</v>
      </c>
      <c r="AE24" s="5">
        <v>1.02</v>
      </c>
      <c r="AG24" s="3">
        <v>1</v>
      </c>
      <c r="AH24" s="3">
        <v>149.24</v>
      </c>
      <c r="AI24" s="3">
        <v>21</v>
      </c>
      <c r="AJ24" s="4">
        <f>ABS(AH24-AI24)</f>
        <v>128.24</v>
      </c>
      <c r="AK24" s="9">
        <f t="shared" ref="AK24:AK33" si="27">ABS(AH24-AI24)/AI24</f>
        <v>6.1066666666666674</v>
      </c>
      <c r="AL24" s="11">
        <f t="shared" ref="AL24:AL33" si="28">AH24-AI24</f>
        <v>128.24</v>
      </c>
      <c r="AM24" s="5">
        <v>1.65</v>
      </c>
      <c r="AO24" s="3">
        <v>1</v>
      </c>
      <c r="AP24" s="3">
        <v>59.26</v>
      </c>
      <c r="AQ24" s="3">
        <v>165</v>
      </c>
      <c r="AR24" s="4">
        <f>ABS(AP24-AQ24)</f>
        <v>105.74000000000001</v>
      </c>
      <c r="AS24" s="9">
        <f t="shared" ref="AS24:AS33" si="29">ABS(AP24-AQ24)/AQ24</f>
        <v>0.64084848484848489</v>
      </c>
      <c r="AT24" s="11">
        <f t="shared" ref="AT24:AT33" si="30">AP24-AQ24</f>
        <v>-105.74000000000001</v>
      </c>
      <c r="AU24" s="5">
        <v>2.0499999999999998</v>
      </c>
    </row>
    <row r="25" spans="1:47" ht="18" x14ac:dyDescent="0.3">
      <c r="A25" s="3">
        <v>2</v>
      </c>
      <c r="B25" s="3">
        <v>23.65</v>
      </c>
      <c r="C25" s="3">
        <v>21</v>
      </c>
      <c r="D25" s="4">
        <f t="shared" si="18"/>
        <v>2.6499999999999986</v>
      </c>
      <c r="E25" s="9">
        <f t="shared" si="19"/>
        <v>0.12619047619047613</v>
      </c>
      <c r="F25" s="11">
        <f t="shared" si="20"/>
        <v>2.6499999999999986</v>
      </c>
      <c r="G25" s="3">
        <v>1.02</v>
      </c>
      <c r="H25" s="1"/>
      <c r="I25" s="3">
        <v>2</v>
      </c>
      <c r="J25" s="3">
        <v>8.4700000000000006</v>
      </c>
      <c r="K25" s="3">
        <v>22</v>
      </c>
      <c r="L25" s="4">
        <f t="shared" ref="L25:L33" si="31">ABS(J25-K25)</f>
        <v>13.53</v>
      </c>
      <c r="M25" s="9">
        <f t="shared" si="21"/>
        <v>0.61499999999999999</v>
      </c>
      <c r="N25" s="11">
        <f t="shared" si="22"/>
        <v>-13.53</v>
      </c>
      <c r="O25" s="3">
        <v>1.01</v>
      </c>
      <c r="P25" s="1"/>
      <c r="Q25" s="3">
        <v>2</v>
      </c>
      <c r="R25" s="3">
        <v>155.84</v>
      </c>
      <c r="S25" s="8">
        <v>161</v>
      </c>
      <c r="T25" s="4">
        <f t="shared" ref="T25:T33" si="32">ABS(R25-S25)</f>
        <v>5.1599999999999966</v>
      </c>
      <c r="U25" s="9">
        <f t="shared" si="23"/>
        <v>3.2049689440993769E-2</v>
      </c>
      <c r="V25" s="11">
        <f t="shared" si="24"/>
        <v>-5.1599999999999966</v>
      </c>
      <c r="W25" s="3">
        <v>1.89</v>
      </c>
      <c r="Y25" s="3">
        <v>2</v>
      </c>
      <c r="Z25" s="3">
        <v>28.37</v>
      </c>
      <c r="AA25" s="3">
        <v>158</v>
      </c>
      <c r="AB25" s="4">
        <f t="shared" ref="AB25:AB33" si="33">ABS(Z25-AA25)</f>
        <v>129.63</v>
      </c>
      <c r="AC25" s="9">
        <f t="shared" si="25"/>
        <v>0.82044303797468354</v>
      </c>
      <c r="AD25" s="11">
        <f t="shared" si="26"/>
        <v>-129.63</v>
      </c>
      <c r="AE25" s="5">
        <v>1.01</v>
      </c>
      <c r="AG25" s="3">
        <v>2</v>
      </c>
      <c r="AH25" s="3">
        <v>167.45</v>
      </c>
      <c r="AI25" s="3">
        <v>19</v>
      </c>
      <c r="AJ25" s="4">
        <f t="shared" ref="AJ25:AJ33" si="34">ABS(AH25-AI25)</f>
        <v>148.44999999999999</v>
      </c>
      <c r="AK25" s="9">
        <f t="shared" si="27"/>
        <v>7.8131578947368414</v>
      </c>
      <c r="AL25" s="11">
        <f t="shared" si="28"/>
        <v>148.44999999999999</v>
      </c>
      <c r="AM25" s="5">
        <v>1.76</v>
      </c>
      <c r="AO25" s="3">
        <v>2</v>
      </c>
      <c r="AP25" s="3">
        <v>70.069999999999993</v>
      </c>
      <c r="AQ25" s="3">
        <v>158</v>
      </c>
      <c r="AR25" s="4">
        <f t="shared" ref="AR25:AR33" si="35">ABS(AP25-AQ25)</f>
        <v>87.93</v>
      </c>
      <c r="AS25" s="9">
        <f t="shared" si="29"/>
        <v>0.55651898734177219</v>
      </c>
      <c r="AT25" s="11">
        <f t="shared" si="30"/>
        <v>-87.93</v>
      </c>
      <c r="AU25" s="5">
        <v>2.1</v>
      </c>
    </row>
    <row r="26" spans="1:47" ht="18" x14ac:dyDescent="0.3">
      <c r="A26" s="3">
        <v>3</v>
      </c>
      <c r="B26" s="3">
        <v>28.59</v>
      </c>
      <c r="C26" s="3">
        <v>21</v>
      </c>
      <c r="D26" s="4">
        <f t="shared" si="18"/>
        <v>7.59</v>
      </c>
      <c r="E26" s="9">
        <f t="shared" si="19"/>
        <v>0.36142857142857143</v>
      </c>
      <c r="F26" s="11">
        <f t="shared" si="20"/>
        <v>7.59</v>
      </c>
      <c r="G26" s="3">
        <v>1.01</v>
      </c>
      <c r="H26" s="1"/>
      <c r="I26" s="3">
        <v>3</v>
      </c>
      <c r="J26" s="3">
        <v>9.3800000000000008</v>
      </c>
      <c r="K26" s="3">
        <v>21</v>
      </c>
      <c r="L26" s="4">
        <f t="shared" si="31"/>
        <v>11.62</v>
      </c>
      <c r="M26" s="9">
        <f t="shared" si="21"/>
        <v>0.55333333333333334</v>
      </c>
      <c r="N26" s="11">
        <f t="shared" si="22"/>
        <v>-11.62</v>
      </c>
      <c r="O26" s="3">
        <v>1.01</v>
      </c>
      <c r="P26" s="1"/>
      <c r="Q26" s="3">
        <v>3</v>
      </c>
      <c r="R26" s="5">
        <v>186.4</v>
      </c>
      <c r="S26" s="8">
        <v>154</v>
      </c>
      <c r="T26" s="4">
        <f t="shared" si="32"/>
        <v>32.400000000000006</v>
      </c>
      <c r="U26" s="9">
        <f t="shared" si="23"/>
        <v>0.21038961038961043</v>
      </c>
      <c r="V26" s="11">
        <f t="shared" si="24"/>
        <v>32.400000000000006</v>
      </c>
      <c r="W26" s="3">
        <v>1.77</v>
      </c>
      <c r="Y26" s="3">
        <v>3</v>
      </c>
      <c r="Z26" s="3">
        <v>27.77</v>
      </c>
      <c r="AA26" s="3">
        <v>174</v>
      </c>
      <c r="AB26" s="4">
        <f t="shared" si="33"/>
        <v>146.22999999999999</v>
      </c>
      <c r="AC26" s="9">
        <f t="shared" si="25"/>
        <v>0.8404022988505746</v>
      </c>
      <c r="AD26" s="11">
        <f t="shared" si="26"/>
        <v>-146.22999999999999</v>
      </c>
      <c r="AE26" s="5">
        <v>1.03</v>
      </c>
      <c r="AG26" s="3">
        <v>3</v>
      </c>
      <c r="AH26" s="3">
        <v>189.23</v>
      </c>
      <c r="AI26" s="3">
        <v>21</v>
      </c>
      <c r="AJ26" s="4">
        <f t="shared" si="34"/>
        <v>168.23</v>
      </c>
      <c r="AK26" s="9">
        <f t="shared" si="27"/>
        <v>8.0109523809523804</v>
      </c>
      <c r="AL26" s="11">
        <f t="shared" si="28"/>
        <v>168.23</v>
      </c>
      <c r="AM26" s="5">
        <v>1.43</v>
      </c>
      <c r="AO26" s="3">
        <v>3</v>
      </c>
      <c r="AP26" s="3">
        <v>63.15</v>
      </c>
      <c r="AQ26" s="3">
        <v>174</v>
      </c>
      <c r="AR26" s="4">
        <f t="shared" si="35"/>
        <v>110.85</v>
      </c>
      <c r="AS26" s="9">
        <f>ABS(AP26-AQ26)/AQ26</f>
        <v>0.63706896551724135</v>
      </c>
      <c r="AT26" s="11">
        <f t="shared" si="30"/>
        <v>-110.85</v>
      </c>
      <c r="AU26" s="5">
        <v>2.34</v>
      </c>
    </row>
    <row r="27" spans="1:47" ht="18" x14ac:dyDescent="0.3">
      <c r="A27" s="3">
        <v>4</v>
      </c>
      <c r="B27" s="3">
        <v>29.33</v>
      </c>
      <c r="C27" s="3">
        <v>19</v>
      </c>
      <c r="D27" s="4">
        <f t="shared" si="18"/>
        <v>10.329999999999998</v>
      </c>
      <c r="E27" s="9">
        <f t="shared" si="19"/>
        <v>0.54368421052631566</v>
      </c>
      <c r="F27" s="11">
        <f t="shared" si="20"/>
        <v>10.329999999999998</v>
      </c>
      <c r="G27" s="3">
        <v>1.01</v>
      </c>
      <c r="H27" s="1"/>
      <c r="I27" s="3">
        <v>4</v>
      </c>
      <c r="J27" s="3">
        <v>9.25</v>
      </c>
      <c r="K27" s="3">
        <v>21</v>
      </c>
      <c r="L27" s="4">
        <f t="shared" si="31"/>
        <v>11.75</v>
      </c>
      <c r="M27" s="9">
        <f t="shared" si="21"/>
        <v>0.55952380952380953</v>
      </c>
      <c r="N27" s="11">
        <f t="shared" si="22"/>
        <v>-11.75</v>
      </c>
      <c r="O27" s="3">
        <v>1.01</v>
      </c>
      <c r="P27" s="1"/>
      <c r="Q27" s="3">
        <v>4</v>
      </c>
      <c r="R27" s="3">
        <v>193.11</v>
      </c>
      <c r="S27" s="8">
        <v>154</v>
      </c>
      <c r="T27" s="4">
        <f t="shared" si="32"/>
        <v>39.110000000000014</v>
      </c>
      <c r="U27" s="9">
        <f t="shared" si="23"/>
        <v>0.25396103896103905</v>
      </c>
      <c r="V27" s="11">
        <f t="shared" si="24"/>
        <v>39.110000000000014</v>
      </c>
      <c r="W27" s="3">
        <v>1.73</v>
      </c>
      <c r="Y27" s="3">
        <v>4</v>
      </c>
      <c r="Z27" s="5">
        <v>29.3</v>
      </c>
      <c r="AA27" s="3">
        <v>163</v>
      </c>
      <c r="AB27" s="4">
        <f t="shared" si="33"/>
        <v>133.69999999999999</v>
      </c>
      <c r="AC27" s="9">
        <f t="shared" si="25"/>
        <v>0.82024539877300606</v>
      </c>
      <c r="AD27" s="11">
        <f t="shared" si="26"/>
        <v>-133.69999999999999</v>
      </c>
      <c r="AE27" s="5">
        <v>1.02</v>
      </c>
      <c r="AG27" s="3">
        <v>4</v>
      </c>
      <c r="AH27" s="3">
        <v>167.73</v>
      </c>
      <c r="AI27" s="3">
        <v>20</v>
      </c>
      <c r="AJ27" s="4">
        <f t="shared" si="34"/>
        <v>147.72999999999999</v>
      </c>
      <c r="AK27" s="9">
        <f t="shared" si="27"/>
        <v>7.3864999999999998</v>
      </c>
      <c r="AL27" s="11">
        <f t="shared" si="28"/>
        <v>147.72999999999999</v>
      </c>
      <c r="AM27" s="5">
        <v>1.75</v>
      </c>
      <c r="AO27" s="3">
        <v>4</v>
      </c>
      <c r="AP27" s="5">
        <v>62.07</v>
      </c>
      <c r="AQ27" s="3">
        <v>163</v>
      </c>
      <c r="AR27" s="4">
        <f t="shared" si="35"/>
        <v>100.93</v>
      </c>
      <c r="AS27" s="9">
        <f t="shared" si="29"/>
        <v>0.61920245398773011</v>
      </c>
      <c r="AT27" s="11">
        <f t="shared" si="30"/>
        <v>-100.93</v>
      </c>
      <c r="AU27" s="5">
        <v>2.4300000000000002</v>
      </c>
    </row>
    <row r="28" spans="1:47" ht="18" x14ac:dyDescent="0.3">
      <c r="A28" s="3">
        <v>5</v>
      </c>
      <c r="B28" s="3">
        <v>25.35</v>
      </c>
      <c r="C28" s="3">
        <v>20</v>
      </c>
      <c r="D28" s="4">
        <f t="shared" si="18"/>
        <v>5.3500000000000014</v>
      </c>
      <c r="E28" s="9">
        <f t="shared" si="19"/>
        <v>0.26750000000000007</v>
      </c>
      <c r="F28" s="11">
        <f t="shared" si="20"/>
        <v>5.3500000000000014</v>
      </c>
      <c r="G28" s="3">
        <v>1.01</v>
      </c>
      <c r="H28" s="1"/>
      <c r="I28" s="3">
        <v>5</v>
      </c>
      <c r="J28" s="3">
        <v>7.79</v>
      </c>
      <c r="K28" s="3">
        <v>20</v>
      </c>
      <c r="L28" s="4">
        <f t="shared" si="31"/>
        <v>12.21</v>
      </c>
      <c r="M28" s="9">
        <f t="shared" si="21"/>
        <v>0.61050000000000004</v>
      </c>
      <c r="N28" s="11">
        <f t="shared" si="22"/>
        <v>-12.21</v>
      </c>
      <c r="O28" s="3">
        <v>1.03</v>
      </c>
      <c r="P28" s="1"/>
      <c r="Q28" s="3">
        <v>5</v>
      </c>
      <c r="R28" s="3">
        <v>183.81</v>
      </c>
      <c r="S28" s="8">
        <v>160</v>
      </c>
      <c r="T28" s="4">
        <f t="shared" si="32"/>
        <v>23.810000000000002</v>
      </c>
      <c r="U28" s="9">
        <f t="shared" si="23"/>
        <v>0.14881250000000001</v>
      </c>
      <c r="V28" s="11">
        <f t="shared" si="24"/>
        <v>23.810000000000002</v>
      </c>
      <c r="W28" s="3">
        <v>1.71</v>
      </c>
      <c r="Y28" s="3">
        <v>5</v>
      </c>
      <c r="Z28" s="3">
        <v>28.69</v>
      </c>
      <c r="AA28" s="3">
        <v>157</v>
      </c>
      <c r="AB28" s="4">
        <f t="shared" si="33"/>
        <v>128.31</v>
      </c>
      <c r="AC28" s="9">
        <f t="shared" si="25"/>
        <v>0.81726114649681525</v>
      </c>
      <c r="AD28" s="11">
        <f t="shared" si="26"/>
        <v>-128.31</v>
      </c>
      <c r="AE28" s="5">
        <v>1.02</v>
      </c>
      <c r="AG28" s="3">
        <v>5</v>
      </c>
      <c r="AH28" s="3">
        <v>145.16</v>
      </c>
      <c r="AI28" s="3">
        <v>20</v>
      </c>
      <c r="AJ28" s="4">
        <f t="shared" si="34"/>
        <v>125.16</v>
      </c>
      <c r="AK28" s="9">
        <f t="shared" si="27"/>
        <v>6.258</v>
      </c>
      <c r="AL28" s="11">
        <f t="shared" si="28"/>
        <v>125.16</v>
      </c>
      <c r="AM28" s="5">
        <v>1.59</v>
      </c>
      <c r="AO28" s="3">
        <v>5</v>
      </c>
      <c r="AP28" s="3">
        <v>64.27</v>
      </c>
      <c r="AQ28" s="3">
        <v>157</v>
      </c>
      <c r="AR28" s="4">
        <f t="shared" si="35"/>
        <v>92.73</v>
      </c>
      <c r="AS28" s="9">
        <f t="shared" si="29"/>
        <v>0.59063694267515932</v>
      </c>
      <c r="AT28" s="11">
        <f t="shared" si="30"/>
        <v>-92.73</v>
      </c>
      <c r="AU28" s="5">
        <v>2.44</v>
      </c>
    </row>
    <row r="29" spans="1:47" ht="18" x14ac:dyDescent="0.3">
      <c r="A29" s="3">
        <v>6</v>
      </c>
      <c r="B29" s="3">
        <v>22.68</v>
      </c>
      <c r="C29" s="3">
        <v>20</v>
      </c>
      <c r="D29" s="4">
        <f t="shared" si="18"/>
        <v>2.6799999999999997</v>
      </c>
      <c r="E29" s="9">
        <f t="shared" si="19"/>
        <v>0.13399999999999998</v>
      </c>
      <c r="F29" s="11">
        <f t="shared" si="20"/>
        <v>2.6799999999999997</v>
      </c>
      <c r="G29" s="5">
        <v>1</v>
      </c>
      <c r="H29" s="1"/>
      <c r="I29" s="3">
        <v>6</v>
      </c>
      <c r="J29" s="3">
        <v>9.2100000000000009</v>
      </c>
      <c r="K29" s="3">
        <v>21</v>
      </c>
      <c r="L29" s="4">
        <f t="shared" si="31"/>
        <v>11.79</v>
      </c>
      <c r="M29" s="9">
        <f t="shared" si="21"/>
        <v>0.56142857142857139</v>
      </c>
      <c r="N29" s="11">
        <f t="shared" si="22"/>
        <v>-11.79</v>
      </c>
      <c r="O29" s="3">
        <v>1.01</v>
      </c>
      <c r="P29" s="1"/>
      <c r="Q29" s="3">
        <v>6</v>
      </c>
      <c r="R29" s="3">
        <v>166.48</v>
      </c>
      <c r="S29" s="8">
        <v>156</v>
      </c>
      <c r="T29" s="4">
        <f t="shared" si="32"/>
        <v>10.47999999999999</v>
      </c>
      <c r="U29" s="9">
        <f t="shared" si="23"/>
        <v>6.7179487179487116E-2</v>
      </c>
      <c r="V29" s="11">
        <f t="shared" si="24"/>
        <v>10.47999999999999</v>
      </c>
      <c r="W29" s="3">
        <v>1.88</v>
      </c>
      <c r="Y29" s="3">
        <v>6</v>
      </c>
      <c r="Z29" s="3">
        <v>27.14</v>
      </c>
      <c r="AA29" s="3">
        <v>172</v>
      </c>
      <c r="AB29" s="4">
        <f t="shared" si="33"/>
        <v>144.86000000000001</v>
      </c>
      <c r="AC29" s="9">
        <f t="shared" si="25"/>
        <v>0.84220930232558144</v>
      </c>
      <c r="AD29" s="11">
        <f t="shared" si="26"/>
        <v>-144.86000000000001</v>
      </c>
      <c r="AE29" s="5">
        <v>1.01</v>
      </c>
      <c r="AG29" s="3">
        <v>6</v>
      </c>
      <c r="AH29" s="3">
        <v>113.93</v>
      </c>
      <c r="AI29" s="3">
        <v>20</v>
      </c>
      <c r="AJ29" s="4">
        <f t="shared" si="34"/>
        <v>93.93</v>
      </c>
      <c r="AK29" s="9">
        <f t="shared" si="27"/>
        <v>4.6965000000000003</v>
      </c>
      <c r="AL29" s="11">
        <f t="shared" si="28"/>
        <v>93.93</v>
      </c>
      <c r="AM29" s="5">
        <v>1.82</v>
      </c>
      <c r="AO29" s="3">
        <v>6</v>
      </c>
      <c r="AP29" s="3">
        <v>67.44</v>
      </c>
      <c r="AQ29" s="3">
        <v>172</v>
      </c>
      <c r="AR29" s="4">
        <f t="shared" si="35"/>
        <v>104.56</v>
      </c>
      <c r="AS29" s="9">
        <f t="shared" si="29"/>
        <v>0.60790697674418603</v>
      </c>
      <c r="AT29" s="11">
        <f t="shared" si="30"/>
        <v>-104.56</v>
      </c>
      <c r="AU29" s="5">
        <v>2.2400000000000002</v>
      </c>
    </row>
    <row r="30" spans="1:47" ht="18" x14ac:dyDescent="0.3">
      <c r="A30" s="3">
        <v>7</v>
      </c>
      <c r="B30" s="3">
        <v>19.190000000000001</v>
      </c>
      <c r="C30" s="3">
        <v>21</v>
      </c>
      <c r="D30" s="4">
        <f t="shared" si="18"/>
        <v>1.8099999999999987</v>
      </c>
      <c r="E30" s="9">
        <f t="shared" si="19"/>
        <v>8.6190476190476123E-2</v>
      </c>
      <c r="F30" s="11">
        <f t="shared" si="20"/>
        <v>-1.8099999999999987</v>
      </c>
      <c r="G30" s="3">
        <v>1.02</v>
      </c>
      <c r="H30" s="1"/>
      <c r="I30" s="3">
        <v>7</v>
      </c>
      <c r="J30" s="3">
        <v>8.8800000000000008</v>
      </c>
      <c r="K30" s="3">
        <v>19</v>
      </c>
      <c r="L30" s="4">
        <f t="shared" si="31"/>
        <v>10.119999999999999</v>
      </c>
      <c r="M30" s="9">
        <f t="shared" si="21"/>
        <v>0.53263157894736834</v>
      </c>
      <c r="N30" s="11">
        <f t="shared" si="22"/>
        <v>-10.119999999999999</v>
      </c>
      <c r="O30" s="3">
        <v>1.01</v>
      </c>
      <c r="P30" s="1"/>
      <c r="Q30" s="3">
        <v>7</v>
      </c>
      <c r="R30" s="3">
        <v>168.18</v>
      </c>
      <c r="S30" s="8">
        <v>153</v>
      </c>
      <c r="T30" s="4">
        <f t="shared" si="32"/>
        <v>15.180000000000007</v>
      </c>
      <c r="U30" s="9">
        <f t="shared" si="23"/>
        <v>9.9215686274509843E-2</v>
      </c>
      <c r="V30" s="11">
        <f t="shared" si="24"/>
        <v>15.180000000000007</v>
      </c>
      <c r="W30" s="3">
        <v>1.79</v>
      </c>
      <c r="Y30" s="3">
        <v>7</v>
      </c>
      <c r="Z30" s="5">
        <v>28.9</v>
      </c>
      <c r="AA30" s="3">
        <v>149</v>
      </c>
      <c r="AB30" s="4">
        <f t="shared" si="33"/>
        <v>120.1</v>
      </c>
      <c r="AC30" s="9">
        <f t="shared" si="25"/>
        <v>0.80604026845637577</v>
      </c>
      <c r="AD30" s="11">
        <f t="shared" si="26"/>
        <v>-120.1</v>
      </c>
      <c r="AE30" s="5">
        <v>1.01</v>
      </c>
      <c r="AG30" s="3">
        <v>7</v>
      </c>
      <c r="AH30" s="3">
        <v>169.25</v>
      </c>
      <c r="AI30" s="3">
        <v>20</v>
      </c>
      <c r="AJ30" s="4">
        <f t="shared" si="34"/>
        <v>149.25</v>
      </c>
      <c r="AK30" s="9">
        <f t="shared" si="27"/>
        <v>7.4625000000000004</v>
      </c>
      <c r="AL30" s="11">
        <f t="shared" si="28"/>
        <v>149.25</v>
      </c>
      <c r="AM30" s="5">
        <v>1.66</v>
      </c>
      <c r="AO30" s="3">
        <v>7</v>
      </c>
      <c r="AP30" s="5">
        <v>62.2</v>
      </c>
      <c r="AQ30" s="3">
        <v>149</v>
      </c>
      <c r="AR30" s="4">
        <f t="shared" si="35"/>
        <v>86.8</v>
      </c>
      <c r="AS30" s="9">
        <f t="shared" si="29"/>
        <v>0.58255033557046976</v>
      </c>
      <c r="AT30" s="11">
        <f t="shared" si="30"/>
        <v>-86.8</v>
      </c>
      <c r="AU30" s="5">
        <v>2.35</v>
      </c>
    </row>
    <row r="31" spans="1:47" ht="18" x14ac:dyDescent="0.3">
      <c r="A31" s="3">
        <v>8</v>
      </c>
      <c r="B31" s="3">
        <v>23.34</v>
      </c>
      <c r="C31" s="3">
        <v>21</v>
      </c>
      <c r="D31" s="4">
        <f t="shared" si="18"/>
        <v>2.34</v>
      </c>
      <c r="E31" s="9">
        <f t="shared" si="19"/>
        <v>0.11142857142857142</v>
      </c>
      <c r="F31" s="11">
        <f t="shared" si="20"/>
        <v>2.34</v>
      </c>
      <c r="G31" s="3">
        <v>1.01</v>
      </c>
      <c r="H31" s="1"/>
      <c r="I31" s="3">
        <v>8</v>
      </c>
      <c r="J31" s="3">
        <v>8.11</v>
      </c>
      <c r="K31" s="3">
        <v>20</v>
      </c>
      <c r="L31" s="4">
        <f t="shared" si="31"/>
        <v>11.89</v>
      </c>
      <c r="M31" s="9">
        <f t="shared" si="21"/>
        <v>0.59450000000000003</v>
      </c>
      <c r="N31" s="11">
        <f t="shared" si="22"/>
        <v>-11.89</v>
      </c>
      <c r="O31" s="3">
        <v>1.01</v>
      </c>
      <c r="P31" s="1"/>
      <c r="Q31" s="3">
        <v>8</v>
      </c>
      <c r="R31" s="3">
        <v>170.51</v>
      </c>
      <c r="S31" s="8">
        <v>160</v>
      </c>
      <c r="T31" s="4">
        <f t="shared" si="32"/>
        <v>10.509999999999991</v>
      </c>
      <c r="U31" s="9">
        <f t="shared" si="23"/>
        <v>6.568749999999994E-2</v>
      </c>
      <c r="V31" s="11">
        <f t="shared" si="24"/>
        <v>10.509999999999991</v>
      </c>
      <c r="W31" s="5">
        <v>1.7</v>
      </c>
      <c r="Y31" s="3">
        <v>8</v>
      </c>
      <c r="Z31" s="3">
        <v>24.97</v>
      </c>
      <c r="AA31" s="3">
        <v>166</v>
      </c>
      <c r="AB31" s="4">
        <f t="shared" si="33"/>
        <v>141.03</v>
      </c>
      <c r="AC31" s="9">
        <f t="shared" si="25"/>
        <v>0.84957831325301203</v>
      </c>
      <c r="AD31" s="11">
        <f t="shared" si="26"/>
        <v>-141.03</v>
      </c>
      <c r="AE31" s="5">
        <v>1.01</v>
      </c>
      <c r="AG31" s="3">
        <v>8</v>
      </c>
      <c r="AH31" s="3">
        <v>123.65</v>
      </c>
      <c r="AI31" s="3">
        <v>21</v>
      </c>
      <c r="AJ31" s="4">
        <f t="shared" si="34"/>
        <v>102.65</v>
      </c>
      <c r="AK31" s="9">
        <f t="shared" si="27"/>
        <v>4.8880952380952385</v>
      </c>
      <c r="AL31" s="11">
        <f t="shared" si="28"/>
        <v>102.65</v>
      </c>
      <c r="AM31" s="5">
        <v>1.55</v>
      </c>
      <c r="AO31" s="3">
        <v>8</v>
      </c>
      <c r="AP31" s="3">
        <v>60.95</v>
      </c>
      <c r="AQ31" s="3">
        <v>166</v>
      </c>
      <c r="AR31" s="4">
        <f t="shared" si="35"/>
        <v>105.05</v>
      </c>
      <c r="AS31" s="9">
        <f t="shared" si="29"/>
        <v>0.63283132530120478</v>
      </c>
      <c r="AT31" s="11">
        <f t="shared" si="30"/>
        <v>-105.05</v>
      </c>
      <c r="AU31" s="5">
        <v>2.27</v>
      </c>
    </row>
    <row r="32" spans="1:47" ht="18" x14ac:dyDescent="0.3">
      <c r="A32" s="3">
        <v>9</v>
      </c>
      <c r="B32" s="3">
        <v>20.75</v>
      </c>
      <c r="C32" s="3">
        <v>21</v>
      </c>
      <c r="D32" s="4">
        <f t="shared" si="18"/>
        <v>0.25</v>
      </c>
      <c r="E32" s="9">
        <f t="shared" si="19"/>
        <v>1.1904761904761904E-2</v>
      </c>
      <c r="F32" s="11">
        <f t="shared" si="20"/>
        <v>-0.25</v>
      </c>
      <c r="G32" s="3">
        <v>1.02</v>
      </c>
      <c r="H32" s="1"/>
      <c r="I32" s="3">
        <v>9</v>
      </c>
      <c r="J32" s="3">
        <v>8.9600000000000009</v>
      </c>
      <c r="K32" s="3">
        <v>20</v>
      </c>
      <c r="L32" s="4">
        <f t="shared" si="31"/>
        <v>11.04</v>
      </c>
      <c r="M32" s="9">
        <f t="shared" si="21"/>
        <v>0.55199999999999994</v>
      </c>
      <c r="N32" s="11">
        <f t="shared" si="22"/>
        <v>-11.04</v>
      </c>
      <c r="O32" s="3">
        <v>1.02</v>
      </c>
      <c r="P32" s="1"/>
      <c r="Q32" s="3">
        <v>9</v>
      </c>
      <c r="R32" s="5">
        <v>193</v>
      </c>
      <c r="S32" s="8">
        <v>166</v>
      </c>
      <c r="T32" s="4">
        <f t="shared" si="32"/>
        <v>27</v>
      </c>
      <c r="U32" s="9">
        <f t="shared" si="23"/>
        <v>0.16265060240963855</v>
      </c>
      <c r="V32" s="11">
        <f t="shared" si="24"/>
        <v>27</v>
      </c>
      <c r="W32" s="3">
        <v>1.69</v>
      </c>
      <c r="Y32" s="3">
        <v>9</v>
      </c>
      <c r="Z32" s="3">
        <v>27.27</v>
      </c>
      <c r="AA32" s="3">
        <v>174</v>
      </c>
      <c r="AB32" s="4">
        <f t="shared" si="33"/>
        <v>146.72999999999999</v>
      </c>
      <c r="AC32" s="9">
        <f t="shared" si="25"/>
        <v>0.84327586206896543</v>
      </c>
      <c r="AD32" s="11">
        <f t="shared" si="26"/>
        <v>-146.72999999999999</v>
      </c>
      <c r="AE32" s="5">
        <v>1.03</v>
      </c>
      <c r="AG32" s="3">
        <v>9</v>
      </c>
      <c r="AH32" s="3">
        <v>124.03</v>
      </c>
      <c r="AI32" s="3">
        <v>21</v>
      </c>
      <c r="AJ32" s="4">
        <f t="shared" si="34"/>
        <v>103.03</v>
      </c>
      <c r="AK32" s="9">
        <f t="shared" si="27"/>
        <v>4.906190476190476</v>
      </c>
      <c r="AL32" s="11">
        <f t="shared" si="28"/>
        <v>103.03</v>
      </c>
      <c r="AM32" s="5">
        <v>1.81</v>
      </c>
      <c r="AO32" s="3">
        <v>9</v>
      </c>
      <c r="AP32" s="3">
        <v>72.08</v>
      </c>
      <c r="AQ32" s="3">
        <v>174</v>
      </c>
      <c r="AR32" s="4">
        <f t="shared" si="35"/>
        <v>101.92</v>
      </c>
      <c r="AS32" s="9">
        <f t="shared" si="29"/>
        <v>0.58574712643678162</v>
      </c>
      <c r="AT32" s="11">
        <f t="shared" si="30"/>
        <v>-101.92</v>
      </c>
      <c r="AU32" s="5">
        <v>2.11</v>
      </c>
    </row>
    <row r="33" spans="1:47" ht="18" x14ac:dyDescent="0.3">
      <c r="A33" s="3">
        <v>10</v>
      </c>
      <c r="B33" s="5">
        <v>17.34</v>
      </c>
      <c r="C33" s="3">
        <v>21</v>
      </c>
      <c r="D33" s="4">
        <f t="shared" si="18"/>
        <v>3.66</v>
      </c>
      <c r="E33" s="9">
        <f t="shared" si="19"/>
        <v>0.17428571428571429</v>
      </c>
      <c r="F33" s="11">
        <f t="shared" si="20"/>
        <v>-3.66</v>
      </c>
      <c r="G33" s="3">
        <v>1.03</v>
      </c>
      <c r="H33" s="1"/>
      <c r="I33" s="3">
        <v>10</v>
      </c>
      <c r="J33" s="5">
        <v>9.6300000000000008</v>
      </c>
      <c r="K33" s="3">
        <v>20</v>
      </c>
      <c r="L33" s="4">
        <f t="shared" si="31"/>
        <v>10.37</v>
      </c>
      <c r="M33" s="9">
        <f t="shared" si="21"/>
        <v>0.51849999999999996</v>
      </c>
      <c r="N33" s="11">
        <f t="shared" si="22"/>
        <v>-10.37</v>
      </c>
      <c r="O33" s="3">
        <v>1.01</v>
      </c>
      <c r="P33" s="1"/>
      <c r="Q33" s="3">
        <v>10</v>
      </c>
      <c r="R33" s="5">
        <v>191.63</v>
      </c>
      <c r="S33" s="8">
        <v>156</v>
      </c>
      <c r="T33" s="4">
        <f t="shared" si="32"/>
        <v>35.629999999999995</v>
      </c>
      <c r="U33" s="9">
        <f t="shared" si="23"/>
        <v>0.22839743589743586</v>
      </c>
      <c r="V33" s="11">
        <f t="shared" si="24"/>
        <v>35.629999999999995</v>
      </c>
      <c r="W33" s="5">
        <v>1.72</v>
      </c>
      <c r="Y33" s="3">
        <v>10</v>
      </c>
      <c r="Z33" s="5">
        <v>30.32</v>
      </c>
      <c r="AA33" s="3">
        <v>172</v>
      </c>
      <c r="AB33" s="4">
        <f t="shared" si="33"/>
        <v>141.68</v>
      </c>
      <c r="AC33" s="9">
        <f t="shared" si="25"/>
        <v>0.82372093023255821</v>
      </c>
      <c r="AD33" s="11">
        <f t="shared" si="26"/>
        <v>-141.68</v>
      </c>
      <c r="AE33" s="5">
        <v>1.01</v>
      </c>
      <c r="AG33" s="3">
        <v>10</v>
      </c>
      <c r="AH33" s="5">
        <v>103.47</v>
      </c>
      <c r="AI33" s="3">
        <v>20</v>
      </c>
      <c r="AJ33" s="4">
        <f t="shared" si="34"/>
        <v>83.47</v>
      </c>
      <c r="AK33" s="9">
        <f t="shared" si="27"/>
        <v>4.1734999999999998</v>
      </c>
      <c r="AL33" s="11">
        <f t="shared" si="28"/>
        <v>83.47</v>
      </c>
      <c r="AM33" s="5">
        <v>2.02</v>
      </c>
      <c r="AO33" s="3">
        <v>10</v>
      </c>
      <c r="AP33" s="5">
        <v>64.94</v>
      </c>
      <c r="AQ33" s="3">
        <v>172</v>
      </c>
      <c r="AR33" s="4">
        <f t="shared" si="35"/>
        <v>107.06</v>
      </c>
      <c r="AS33" s="9">
        <f t="shared" si="29"/>
        <v>0.62244186046511629</v>
      </c>
      <c r="AT33" s="11">
        <f t="shared" si="30"/>
        <v>-107.06</v>
      </c>
      <c r="AU33" s="5">
        <v>2.3199999999999998</v>
      </c>
    </row>
    <row r="34" spans="1:47" ht="18" x14ac:dyDescent="0.3">
      <c r="A34" s="1"/>
      <c r="B34" s="1"/>
      <c r="C34" s="1"/>
      <c r="D34" s="6" t="str">
        <f>ROUND(AVERAGE(D24:D33),3)&amp; "±" &amp;ROUND(_xlfn.STDEV.S(D24:D33),2)</f>
        <v>4.536±3.32</v>
      </c>
      <c r="E34" s="10" t="str">
        <f>TEXT(AVERAGE(E24:E33),"0.00%") &amp; "±" &amp; TEXT(_xlfn.STDEV.S(E24:E33),"0.00%")</f>
        <v>22.52%±17.14%</v>
      </c>
      <c r="F34" s="6" t="str">
        <f>ROUND(AVERAGE(F24:F33),3)&amp; "±" &amp;ROUND(_xlfn.STDEV.S(F24:F33),2)</f>
        <v>3.392±4.59</v>
      </c>
      <c r="G34" s="6">
        <f>AVERAGE(G24:G33)</f>
        <v>1.0139999999999998</v>
      </c>
      <c r="H34" s="1"/>
      <c r="I34" s="1"/>
      <c r="J34" s="1"/>
      <c r="K34" s="1"/>
      <c r="L34" s="6" t="str">
        <f>ROUND(AVERAGE(L24:L33),3)&amp; "±" &amp;ROUND(_xlfn.STDEV.S(L24:L33),2)</f>
        <v>11.469±1.03</v>
      </c>
      <c r="M34" s="10" t="str">
        <f>TEXT(AVERAGE(M24:M33),"0.00%") &amp; "±" &amp; TEXT(_xlfn.STDEV.S(M24:M33),"0.00%")</f>
        <v>56.16%±3.50%</v>
      </c>
      <c r="N34" s="6" t="str">
        <f>ROUND(AVERAGE(N24:N33),3)&amp; "±" &amp;ROUND(_xlfn.STDEV.S(N24:N33),2)</f>
        <v>-11.469±1.03</v>
      </c>
      <c r="O34" s="6">
        <f>AVERAGE(O24:O33)</f>
        <v>1.0139999999999998</v>
      </c>
      <c r="P34" s="1"/>
      <c r="Q34" s="1"/>
      <c r="R34" s="1"/>
      <c r="S34" s="1"/>
      <c r="T34" s="6" t="str">
        <f>ROUND(AVERAGE(T24:T33),3)&amp; "±" &amp;ROUND(_xlfn.STDEV.S(T24:T33),2)</f>
        <v>19.973±13.47</v>
      </c>
      <c r="U34" s="10" t="str">
        <f>TEXT(AVERAGE(U24:U33),"0.00%") &amp; "±" &amp; TEXT(_xlfn.STDEV.S(U24:U33),"0.00%")</f>
        <v>12.71%±8.67%</v>
      </c>
      <c r="V34" s="6" t="str">
        <f>ROUND(AVERAGE(V24:V33),3)&amp; "±" &amp;ROUND(_xlfn.STDEV.S(V24:V33),2)</f>
        <v>18.941±15.04</v>
      </c>
      <c r="W34" s="6">
        <f>AVERAGE(W24:W33)</f>
        <v>1.7669999999999999</v>
      </c>
      <c r="Y34" s="1"/>
      <c r="Z34" s="1"/>
      <c r="AA34" s="1"/>
      <c r="AB34" s="6" t="str">
        <f>ROUND(AVERAGE(AB24:AB33),3)&amp; "±" &amp;ROUND(_xlfn.STDEV.S(AB24:AB33),2)</f>
        <v>137.259±8.92</v>
      </c>
      <c r="AC34" s="10" t="str">
        <f>TEXT(AVERAGE(AC24:AC33),"0.00%") &amp; "±" &amp; TEXT(_xlfn.STDEV.S(AC24:AC33),"0.00%")</f>
        <v>83.14%±1.56%</v>
      </c>
      <c r="AD34" s="6" t="str">
        <f>ROUND(AVERAGE(AD24:AD33),3)&amp; "±" &amp;ROUND(_xlfn.STDEV.S(AD24:AD33),2)</f>
        <v>-137.259±8.92</v>
      </c>
      <c r="AE34" s="6">
        <f>AVERAGE(AE24:AE33)</f>
        <v>1.0169999999999999</v>
      </c>
      <c r="AG34" s="1"/>
      <c r="AH34" s="1"/>
      <c r="AI34" s="1"/>
      <c r="AJ34" s="6" t="str">
        <f>ROUND(AVERAGE(AJ24:AJ33),3)&amp; "±" &amp;ROUND(_xlfn.STDEV.S(AJ24:AJ33),2)</f>
        <v>125.014±28.3</v>
      </c>
      <c r="AK34" s="10" t="str">
        <f>TEXT(AVERAGE(AK24:AK33),"0.00%") &amp; "±" &amp; TEXT(_xlfn.STDEV.S(AK24:AK33),"0.00%")</f>
        <v>617.02%±143.95%</v>
      </c>
      <c r="AL34" s="6" t="str">
        <f>ROUND(AVERAGE(AL24:AL33),3)&amp; "±" &amp;ROUND(_xlfn.STDEV.S(AL24:AL33),2)</f>
        <v>125.014±28.3</v>
      </c>
      <c r="AM34" s="6">
        <f>AVERAGE(AM24:AM33)</f>
        <v>1.7040000000000002</v>
      </c>
      <c r="AO34" s="1"/>
      <c r="AP34" s="1"/>
      <c r="AQ34" s="1"/>
      <c r="AR34" s="6" t="str">
        <f>ROUND(AVERAGE(AR24:AR33),3)&amp; "±" &amp;ROUND(_xlfn.STDEV.S(AR24:AR33),2)</f>
        <v>100.357±8.32</v>
      </c>
      <c r="AS34" s="10" t="str">
        <f>TEXT(AVERAGE(AS24:AS33),"0.00%") &amp; "±" &amp; TEXT(_xlfn.STDEV.S(AS24:AS33),"0.00%")</f>
        <v>60.76%±2.78%</v>
      </c>
      <c r="AT34" s="6" t="str">
        <f>ROUND(AVERAGE(AT24:AT33),3)&amp; "±" &amp;ROUND(_xlfn.STDEV.S(AT24:AT33),2)</f>
        <v>-100.357±8.32</v>
      </c>
      <c r="AU34" s="6">
        <f>AVERAGE(AU24:AU33)</f>
        <v>2.2649999999999997</v>
      </c>
    </row>
    <row r="35" spans="1:47" ht="18" x14ac:dyDescent="0.3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</row>
    <row r="36" spans="1:47" ht="18" x14ac:dyDescent="0.3">
      <c r="A36" s="30" t="s">
        <v>9</v>
      </c>
      <c r="B36" s="30"/>
      <c r="C36" s="30"/>
      <c r="D36" s="30"/>
      <c r="E36" s="30"/>
      <c r="F36" s="30"/>
      <c r="G36" s="30"/>
      <c r="H36" s="1"/>
      <c r="I36" s="24" t="s">
        <v>15</v>
      </c>
      <c r="J36" s="24"/>
      <c r="K36" s="24"/>
      <c r="L36" s="24"/>
      <c r="M36" s="24"/>
      <c r="N36" s="24"/>
      <c r="O36" s="24"/>
      <c r="P36" s="1"/>
      <c r="Y36" s="16" t="s">
        <v>23</v>
      </c>
      <c r="Z36" s="16"/>
      <c r="AA36" s="16"/>
      <c r="AB36" s="16"/>
      <c r="AC36" s="16"/>
      <c r="AD36" s="16"/>
      <c r="AE36" s="16"/>
      <c r="AG36" s="16" t="s">
        <v>31</v>
      </c>
      <c r="AH36" s="16"/>
      <c r="AI36" s="16"/>
      <c r="AJ36" s="16"/>
      <c r="AK36" s="16"/>
      <c r="AL36" s="16"/>
      <c r="AM36" s="16"/>
      <c r="AO36" s="16" t="s">
        <v>35</v>
      </c>
      <c r="AP36" s="16"/>
      <c r="AQ36" s="16"/>
      <c r="AR36" s="16"/>
      <c r="AS36" s="16"/>
      <c r="AT36" s="16"/>
      <c r="AU36" s="16"/>
    </row>
    <row r="37" spans="1:47" ht="18" x14ac:dyDescent="0.3">
      <c r="A37" s="2" t="s">
        <v>2</v>
      </c>
      <c r="B37" s="2" t="s">
        <v>3</v>
      </c>
      <c r="C37" s="2" t="s">
        <v>4</v>
      </c>
      <c r="D37" s="2" t="s">
        <v>5</v>
      </c>
      <c r="E37" s="2" t="s">
        <v>19</v>
      </c>
      <c r="F37" s="2" t="s">
        <v>20</v>
      </c>
      <c r="G37" s="2" t="s">
        <v>6</v>
      </c>
      <c r="H37" s="1"/>
      <c r="I37" s="2" t="s">
        <v>2</v>
      </c>
      <c r="J37" s="2" t="s">
        <v>3</v>
      </c>
      <c r="K37" s="2" t="s">
        <v>4</v>
      </c>
      <c r="L37" s="2" t="s">
        <v>5</v>
      </c>
      <c r="M37" s="2" t="s">
        <v>19</v>
      </c>
      <c r="N37" s="2" t="s">
        <v>20</v>
      </c>
      <c r="O37" s="2" t="s">
        <v>6</v>
      </c>
      <c r="P37" s="1"/>
      <c r="Y37" s="2" t="s">
        <v>2</v>
      </c>
      <c r="Z37" s="2" t="s">
        <v>3</v>
      </c>
      <c r="AA37" s="2" t="s">
        <v>4</v>
      </c>
      <c r="AB37" s="2" t="s">
        <v>5</v>
      </c>
      <c r="AC37" s="2" t="s">
        <v>19</v>
      </c>
      <c r="AD37" s="2" t="s">
        <v>20</v>
      </c>
      <c r="AE37" s="2" t="s">
        <v>6</v>
      </c>
      <c r="AG37" s="2" t="s">
        <v>2</v>
      </c>
      <c r="AH37" s="2" t="s">
        <v>3</v>
      </c>
      <c r="AI37" s="2" t="s">
        <v>4</v>
      </c>
      <c r="AJ37" s="2" t="s">
        <v>5</v>
      </c>
      <c r="AK37" s="2" t="s">
        <v>19</v>
      </c>
      <c r="AL37" s="2" t="s">
        <v>20</v>
      </c>
      <c r="AM37" s="2" t="s">
        <v>6</v>
      </c>
      <c r="AO37" s="2" t="s">
        <v>2</v>
      </c>
      <c r="AP37" s="2" t="s">
        <v>3</v>
      </c>
      <c r="AQ37" s="2" t="s">
        <v>4</v>
      </c>
      <c r="AR37" s="2" t="s">
        <v>5</v>
      </c>
      <c r="AS37" s="2" t="s">
        <v>19</v>
      </c>
      <c r="AT37" s="2" t="s">
        <v>20</v>
      </c>
      <c r="AU37" s="2" t="s">
        <v>6</v>
      </c>
    </row>
    <row r="38" spans="1:47" ht="18" x14ac:dyDescent="0.3">
      <c r="A38" s="3">
        <v>1</v>
      </c>
      <c r="B38" s="3">
        <v>24.42</v>
      </c>
      <c r="C38" s="3">
        <v>20</v>
      </c>
      <c r="D38" s="4">
        <f t="shared" ref="D38:D47" si="36">ABS(B38-C38)</f>
        <v>4.4200000000000017</v>
      </c>
      <c r="E38" s="9">
        <f t="shared" ref="E38:E47" si="37">ABS(B38-C38)/C38</f>
        <v>0.22100000000000009</v>
      </c>
      <c r="F38" s="11">
        <f t="shared" ref="F38:F47" si="38">B38-C38</f>
        <v>4.4200000000000017</v>
      </c>
      <c r="G38" s="5">
        <v>1</v>
      </c>
      <c r="H38" s="1"/>
      <c r="I38" s="3">
        <v>1</v>
      </c>
      <c r="J38" s="3">
        <v>7.01</v>
      </c>
      <c r="K38" s="3">
        <v>20</v>
      </c>
      <c r="L38" s="4">
        <f>ABS(J38-K38)</f>
        <v>12.99</v>
      </c>
      <c r="M38" s="9">
        <f t="shared" ref="M38:M47" si="39">ABS(J38-K38)/K38</f>
        <v>0.64949999999999997</v>
      </c>
      <c r="N38" s="11">
        <f t="shared" ref="N38:N47" si="40">J38-K38</f>
        <v>-12.99</v>
      </c>
      <c r="O38" s="3">
        <v>1.01</v>
      </c>
      <c r="P38" s="1"/>
      <c r="Y38" s="3">
        <v>1</v>
      </c>
      <c r="Z38" s="3">
        <v>20.239999999999998</v>
      </c>
      <c r="AA38" s="8">
        <v>157</v>
      </c>
      <c r="AB38" s="4">
        <f>ABS(Z38-AA38)</f>
        <v>136.76</v>
      </c>
      <c r="AC38" s="9">
        <f t="shared" ref="AC38:AC47" si="41">ABS(Z38-AA38)/AA38</f>
        <v>0.8710828025477706</v>
      </c>
      <c r="AD38" s="11">
        <f t="shared" ref="AD38:AD47" si="42">Z38-AA38</f>
        <v>-136.76</v>
      </c>
      <c r="AE38" s="5">
        <v>1.01</v>
      </c>
      <c r="AG38" s="3">
        <v>1</v>
      </c>
      <c r="AH38" s="3">
        <v>154.07</v>
      </c>
      <c r="AI38" s="3">
        <v>20</v>
      </c>
      <c r="AJ38" s="4">
        <f>ABS(AH38-AI38)</f>
        <v>134.07</v>
      </c>
      <c r="AK38" s="9">
        <f t="shared" ref="AK38:AK47" si="43">ABS(AH38-AI38)/AI38</f>
        <v>6.7035</v>
      </c>
      <c r="AL38" s="11">
        <f t="shared" ref="AL38:AL47" si="44">AH38-AI38</f>
        <v>134.07</v>
      </c>
      <c r="AM38" s="5">
        <v>1.1399999999999999</v>
      </c>
      <c r="AO38" s="3">
        <v>1</v>
      </c>
      <c r="AP38" s="3">
        <v>49.27</v>
      </c>
      <c r="AQ38" s="3">
        <v>20</v>
      </c>
      <c r="AR38" s="4">
        <f>ABS(AP38-AQ38)</f>
        <v>29.270000000000003</v>
      </c>
      <c r="AS38" s="9">
        <f t="shared" ref="AS38:AS47" si="45">ABS(AP38-AQ38)/AQ38</f>
        <v>1.4635000000000002</v>
      </c>
      <c r="AT38" s="11">
        <f t="shared" ref="AT38:AT47" si="46">AP38-AQ38</f>
        <v>29.270000000000003</v>
      </c>
      <c r="AU38" s="5">
        <v>1.29</v>
      </c>
    </row>
    <row r="39" spans="1:47" ht="18" x14ac:dyDescent="0.3">
      <c r="A39" s="3">
        <v>2</v>
      </c>
      <c r="B39" s="3">
        <v>23.17</v>
      </c>
      <c r="C39" s="3">
        <v>21</v>
      </c>
      <c r="D39" s="4">
        <f t="shared" si="36"/>
        <v>2.1700000000000017</v>
      </c>
      <c r="E39" s="9">
        <f t="shared" si="37"/>
        <v>0.10333333333333342</v>
      </c>
      <c r="F39" s="11">
        <f t="shared" si="38"/>
        <v>2.1700000000000017</v>
      </c>
      <c r="G39" s="3">
        <v>1.01</v>
      </c>
      <c r="H39" s="1"/>
      <c r="I39" s="3">
        <v>2</v>
      </c>
      <c r="J39" s="3">
        <v>6.58</v>
      </c>
      <c r="K39" s="3">
        <v>22</v>
      </c>
      <c r="L39" s="4">
        <f t="shared" ref="L39:L47" si="47">ABS(J39-K39)</f>
        <v>15.42</v>
      </c>
      <c r="M39" s="9">
        <f t="shared" si="39"/>
        <v>0.70090909090909093</v>
      </c>
      <c r="N39" s="11">
        <f t="shared" si="40"/>
        <v>-15.42</v>
      </c>
      <c r="O39" s="3">
        <v>1.01</v>
      </c>
      <c r="P39" s="1"/>
      <c r="Y39" s="3">
        <v>2</v>
      </c>
      <c r="Z39" s="3">
        <v>21.52</v>
      </c>
      <c r="AA39" s="8">
        <v>161</v>
      </c>
      <c r="AB39" s="4">
        <f t="shared" ref="AB39:AB47" si="48">ABS(Z39-AA39)</f>
        <v>139.47999999999999</v>
      </c>
      <c r="AC39" s="9">
        <f t="shared" si="41"/>
        <v>0.86633540372670803</v>
      </c>
      <c r="AD39" s="11">
        <f t="shared" si="42"/>
        <v>-139.47999999999999</v>
      </c>
      <c r="AE39" s="5">
        <v>1</v>
      </c>
      <c r="AG39" s="3">
        <v>2</v>
      </c>
      <c r="AH39" s="3">
        <v>144.69</v>
      </c>
      <c r="AI39" s="3">
        <v>20</v>
      </c>
      <c r="AJ39" s="4">
        <f t="shared" ref="AJ39:AJ47" si="49">ABS(AH39-AI39)</f>
        <v>124.69</v>
      </c>
      <c r="AK39" s="9">
        <f t="shared" si="43"/>
        <v>6.2344999999999997</v>
      </c>
      <c r="AL39" s="11">
        <f t="shared" si="44"/>
        <v>124.69</v>
      </c>
      <c r="AM39" s="5">
        <v>1.38</v>
      </c>
      <c r="AO39" s="3">
        <v>2</v>
      </c>
      <c r="AP39" s="3">
        <v>51.56</v>
      </c>
      <c r="AQ39" s="3">
        <v>22</v>
      </c>
      <c r="AR39" s="4">
        <f t="shared" ref="AR39:AR47" si="50">ABS(AP39-AQ39)</f>
        <v>29.560000000000002</v>
      </c>
      <c r="AS39" s="9">
        <f t="shared" si="45"/>
        <v>1.3436363636363637</v>
      </c>
      <c r="AT39" s="11">
        <f t="shared" si="46"/>
        <v>29.560000000000002</v>
      </c>
      <c r="AU39" s="5">
        <v>1.1499999999999999</v>
      </c>
    </row>
    <row r="40" spans="1:47" ht="18" x14ac:dyDescent="0.3">
      <c r="A40" s="3">
        <v>3</v>
      </c>
      <c r="B40" s="3">
        <v>22.01</v>
      </c>
      <c r="C40" s="3">
        <v>21</v>
      </c>
      <c r="D40" s="4">
        <f t="shared" si="36"/>
        <v>1.0100000000000016</v>
      </c>
      <c r="E40" s="9">
        <f t="shared" si="37"/>
        <v>4.809523809523817E-2</v>
      </c>
      <c r="F40" s="11">
        <f t="shared" si="38"/>
        <v>1.0100000000000016</v>
      </c>
      <c r="G40" s="3">
        <v>1.01</v>
      </c>
      <c r="H40" s="1"/>
      <c r="I40" s="3">
        <v>3</v>
      </c>
      <c r="J40" s="3">
        <v>6.88</v>
      </c>
      <c r="K40" s="3">
        <v>21</v>
      </c>
      <c r="L40" s="4">
        <f t="shared" si="47"/>
        <v>14.120000000000001</v>
      </c>
      <c r="M40" s="9">
        <f t="shared" si="39"/>
        <v>0.67238095238095241</v>
      </c>
      <c r="N40" s="11">
        <f t="shared" si="40"/>
        <v>-14.120000000000001</v>
      </c>
      <c r="O40" s="5">
        <v>1</v>
      </c>
      <c r="P40" s="1"/>
      <c r="Y40" s="3">
        <v>3</v>
      </c>
      <c r="Z40" s="3">
        <v>21.98</v>
      </c>
      <c r="AA40" s="8">
        <v>154</v>
      </c>
      <c r="AB40" s="4">
        <f t="shared" si="48"/>
        <v>132.02000000000001</v>
      </c>
      <c r="AC40" s="9">
        <f t="shared" si="41"/>
        <v>0.8572727272727273</v>
      </c>
      <c r="AD40" s="11">
        <f t="shared" si="42"/>
        <v>-132.02000000000001</v>
      </c>
      <c r="AE40" s="5">
        <v>1.01</v>
      </c>
      <c r="AG40" s="3">
        <v>3</v>
      </c>
      <c r="AH40" s="3">
        <v>154.30000000000001</v>
      </c>
      <c r="AI40" s="3">
        <v>20</v>
      </c>
      <c r="AJ40" s="4">
        <f t="shared" si="49"/>
        <v>134.30000000000001</v>
      </c>
      <c r="AK40" s="9">
        <f t="shared" si="43"/>
        <v>6.7150000000000007</v>
      </c>
      <c r="AL40" s="11">
        <f t="shared" si="44"/>
        <v>134.30000000000001</v>
      </c>
      <c r="AM40" s="5">
        <v>1.17</v>
      </c>
      <c r="AO40" s="3">
        <v>3</v>
      </c>
      <c r="AP40" s="3">
        <v>49.57</v>
      </c>
      <c r="AQ40" s="3">
        <v>21</v>
      </c>
      <c r="AR40" s="4">
        <f t="shared" si="50"/>
        <v>28.57</v>
      </c>
      <c r="AS40" s="9">
        <f t="shared" si="45"/>
        <v>1.3604761904761904</v>
      </c>
      <c r="AT40" s="11">
        <f t="shared" si="46"/>
        <v>28.57</v>
      </c>
      <c r="AU40" s="5">
        <v>1.19</v>
      </c>
    </row>
    <row r="41" spans="1:47" ht="18" x14ac:dyDescent="0.3">
      <c r="A41" s="3">
        <v>4</v>
      </c>
      <c r="B41" s="3">
        <v>19.86</v>
      </c>
      <c r="C41" s="3">
        <v>19</v>
      </c>
      <c r="D41" s="4">
        <f t="shared" si="36"/>
        <v>0.85999999999999943</v>
      </c>
      <c r="E41" s="9">
        <f t="shared" si="37"/>
        <v>4.5263157894736811E-2</v>
      </c>
      <c r="F41" s="11">
        <f t="shared" si="38"/>
        <v>0.85999999999999943</v>
      </c>
      <c r="G41" s="3">
        <v>1.01</v>
      </c>
      <c r="H41" s="1"/>
      <c r="I41" s="3">
        <v>4</v>
      </c>
      <c r="J41" s="3">
        <v>7.65</v>
      </c>
      <c r="K41" s="3">
        <v>21</v>
      </c>
      <c r="L41" s="4">
        <f t="shared" si="47"/>
        <v>13.35</v>
      </c>
      <c r="M41" s="9">
        <f t="shared" si="39"/>
        <v>0.63571428571428568</v>
      </c>
      <c r="N41" s="11">
        <f t="shared" si="40"/>
        <v>-13.35</v>
      </c>
      <c r="O41" s="5">
        <v>1</v>
      </c>
      <c r="P41" s="1"/>
      <c r="Y41" s="3">
        <v>4</v>
      </c>
      <c r="Z41" s="3">
        <v>20.64</v>
      </c>
      <c r="AA41" s="8">
        <v>154</v>
      </c>
      <c r="AB41" s="4">
        <f t="shared" si="48"/>
        <v>133.36000000000001</v>
      </c>
      <c r="AC41" s="9">
        <f t="shared" si="41"/>
        <v>0.86597402597402606</v>
      </c>
      <c r="AD41" s="11">
        <f t="shared" si="42"/>
        <v>-133.36000000000001</v>
      </c>
      <c r="AE41" s="5">
        <v>1.01</v>
      </c>
      <c r="AG41" s="3">
        <v>4</v>
      </c>
      <c r="AH41" s="3">
        <v>148.53</v>
      </c>
      <c r="AI41" s="3">
        <v>20</v>
      </c>
      <c r="AJ41" s="4">
        <f t="shared" si="49"/>
        <v>128.53</v>
      </c>
      <c r="AK41" s="9">
        <f t="shared" si="43"/>
        <v>6.4264999999999999</v>
      </c>
      <c r="AL41" s="11">
        <f t="shared" si="44"/>
        <v>128.53</v>
      </c>
      <c r="AM41" s="5">
        <v>1.1499999999999999</v>
      </c>
      <c r="AO41" s="3">
        <v>4</v>
      </c>
      <c r="AP41" s="3">
        <v>53.2</v>
      </c>
      <c r="AQ41" s="3">
        <v>21</v>
      </c>
      <c r="AR41" s="4">
        <f t="shared" si="50"/>
        <v>32.200000000000003</v>
      </c>
      <c r="AS41" s="9">
        <f t="shared" si="45"/>
        <v>1.5333333333333334</v>
      </c>
      <c r="AT41" s="11">
        <f t="shared" si="46"/>
        <v>32.200000000000003</v>
      </c>
      <c r="AU41" s="5">
        <v>1.18</v>
      </c>
    </row>
    <row r="42" spans="1:47" ht="18" x14ac:dyDescent="0.3">
      <c r="A42" s="3">
        <v>5</v>
      </c>
      <c r="B42" s="3">
        <v>19.23</v>
      </c>
      <c r="C42" s="3">
        <v>20</v>
      </c>
      <c r="D42" s="4">
        <f t="shared" si="36"/>
        <v>0.76999999999999957</v>
      </c>
      <c r="E42" s="9">
        <f t="shared" si="37"/>
        <v>3.8499999999999979E-2</v>
      </c>
      <c r="F42" s="11">
        <f t="shared" si="38"/>
        <v>-0.76999999999999957</v>
      </c>
      <c r="G42" s="3">
        <v>1.01</v>
      </c>
      <c r="H42" s="1"/>
      <c r="I42" s="3">
        <v>5</v>
      </c>
      <c r="J42" s="3">
        <v>6.47</v>
      </c>
      <c r="K42" s="3">
        <v>20</v>
      </c>
      <c r="L42" s="4">
        <f t="shared" si="47"/>
        <v>13.530000000000001</v>
      </c>
      <c r="M42" s="9">
        <f t="shared" si="39"/>
        <v>0.6765000000000001</v>
      </c>
      <c r="N42" s="11">
        <f t="shared" si="40"/>
        <v>-13.530000000000001</v>
      </c>
      <c r="O42" s="3">
        <v>1.01</v>
      </c>
      <c r="P42" s="1"/>
      <c r="Y42" s="3">
        <v>5</v>
      </c>
      <c r="Z42" s="3">
        <v>19.66</v>
      </c>
      <c r="AA42" s="8">
        <v>160</v>
      </c>
      <c r="AB42" s="4">
        <f t="shared" si="48"/>
        <v>140.34</v>
      </c>
      <c r="AC42" s="9">
        <f t="shared" si="41"/>
        <v>0.87712500000000004</v>
      </c>
      <c r="AD42" s="11">
        <f t="shared" si="42"/>
        <v>-140.34</v>
      </c>
      <c r="AE42" s="5">
        <v>1.01</v>
      </c>
      <c r="AG42" s="3">
        <v>5</v>
      </c>
      <c r="AH42" s="3">
        <v>129.63</v>
      </c>
      <c r="AI42" s="3">
        <v>20</v>
      </c>
      <c r="AJ42" s="4">
        <f t="shared" si="49"/>
        <v>109.63</v>
      </c>
      <c r="AK42" s="9">
        <f t="shared" si="43"/>
        <v>5.4814999999999996</v>
      </c>
      <c r="AL42" s="11">
        <f t="shared" si="44"/>
        <v>109.63</v>
      </c>
      <c r="AM42" s="5">
        <v>1.23</v>
      </c>
      <c r="AO42" s="3">
        <v>5</v>
      </c>
      <c r="AP42" s="3">
        <v>39.9</v>
      </c>
      <c r="AQ42" s="3">
        <v>20</v>
      </c>
      <c r="AR42" s="4">
        <f t="shared" si="50"/>
        <v>19.899999999999999</v>
      </c>
      <c r="AS42" s="9">
        <f t="shared" si="45"/>
        <v>0.99499999999999988</v>
      </c>
      <c r="AT42" s="11">
        <f t="shared" si="46"/>
        <v>19.899999999999999</v>
      </c>
      <c r="AU42" s="5">
        <v>1.46</v>
      </c>
    </row>
    <row r="43" spans="1:47" ht="18" x14ac:dyDescent="0.3">
      <c r="A43" s="3">
        <v>6</v>
      </c>
      <c r="B43" s="3">
        <v>15.92</v>
      </c>
      <c r="C43" s="3">
        <v>20</v>
      </c>
      <c r="D43" s="4">
        <f t="shared" si="36"/>
        <v>4.08</v>
      </c>
      <c r="E43" s="9">
        <f t="shared" si="37"/>
        <v>0.20400000000000001</v>
      </c>
      <c r="F43" s="11">
        <f t="shared" si="38"/>
        <v>-4.08</v>
      </c>
      <c r="G43" s="3">
        <v>1.01</v>
      </c>
      <c r="H43" s="1"/>
      <c r="I43" s="3">
        <v>6</v>
      </c>
      <c r="J43" s="3">
        <v>7.71</v>
      </c>
      <c r="K43" s="3">
        <v>21</v>
      </c>
      <c r="L43" s="4">
        <f t="shared" si="47"/>
        <v>13.29</v>
      </c>
      <c r="M43" s="9">
        <f t="shared" si="39"/>
        <v>0.63285714285714278</v>
      </c>
      <c r="N43" s="11">
        <f t="shared" si="40"/>
        <v>-13.29</v>
      </c>
      <c r="O43" s="5">
        <v>1</v>
      </c>
      <c r="P43" s="1"/>
      <c r="Y43" s="3">
        <v>6</v>
      </c>
      <c r="Z43" s="3">
        <v>23.23</v>
      </c>
      <c r="AA43" s="8">
        <v>156</v>
      </c>
      <c r="AB43" s="4">
        <f t="shared" si="48"/>
        <v>132.77000000000001</v>
      </c>
      <c r="AC43" s="9">
        <f t="shared" si="41"/>
        <v>0.85108974358974365</v>
      </c>
      <c r="AD43" s="11">
        <f t="shared" si="42"/>
        <v>-132.77000000000001</v>
      </c>
      <c r="AE43" s="5">
        <v>1.01</v>
      </c>
      <c r="AG43" s="3">
        <v>6</v>
      </c>
      <c r="AH43" s="3">
        <v>93.91</v>
      </c>
      <c r="AI43" s="3">
        <v>20</v>
      </c>
      <c r="AJ43" s="4">
        <f t="shared" si="49"/>
        <v>73.91</v>
      </c>
      <c r="AK43" s="9">
        <f t="shared" si="43"/>
        <v>3.6955</v>
      </c>
      <c r="AL43" s="11">
        <f t="shared" si="44"/>
        <v>73.91</v>
      </c>
      <c r="AM43" s="5">
        <v>1.17</v>
      </c>
      <c r="AO43" s="3">
        <v>6</v>
      </c>
      <c r="AP43" s="3">
        <v>49.08</v>
      </c>
      <c r="AQ43" s="3">
        <v>21</v>
      </c>
      <c r="AR43" s="4">
        <f t="shared" si="50"/>
        <v>28.08</v>
      </c>
      <c r="AS43" s="9">
        <f t="shared" si="45"/>
        <v>1.337142857142857</v>
      </c>
      <c r="AT43" s="11">
        <f t="shared" si="46"/>
        <v>28.08</v>
      </c>
      <c r="AU43" s="5">
        <v>1.18</v>
      </c>
    </row>
    <row r="44" spans="1:47" ht="18" x14ac:dyDescent="0.3">
      <c r="A44" s="3">
        <v>7</v>
      </c>
      <c r="B44" s="3">
        <v>19.29</v>
      </c>
      <c r="C44" s="3">
        <v>21</v>
      </c>
      <c r="D44" s="4">
        <f t="shared" si="36"/>
        <v>1.7100000000000009</v>
      </c>
      <c r="E44" s="9">
        <f t="shared" si="37"/>
        <v>8.1428571428571475E-2</v>
      </c>
      <c r="F44" s="11">
        <f t="shared" si="38"/>
        <v>-1.7100000000000009</v>
      </c>
      <c r="G44" s="3">
        <v>1.02</v>
      </c>
      <c r="H44" s="1"/>
      <c r="I44" s="3">
        <v>7</v>
      </c>
      <c r="J44" s="3">
        <v>6.57</v>
      </c>
      <c r="K44" s="3">
        <v>19</v>
      </c>
      <c r="L44" s="4">
        <f t="shared" si="47"/>
        <v>12.43</v>
      </c>
      <c r="M44" s="9">
        <f t="shared" si="39"/>
        <v>0.65421052631578946</v>
      </c>
      <c r="N44" s="11">
        <f t="shared" si="40"/>
        <v>-12.43</v>
      </c>
      <c r="O44" s="3">
        <v>1.01</v>
      </c>
      <c r="P44" s="1"/>
      <c r="Y44" s="3">
        <v>7</v>
      </c>
      <c r="Z44" s="3">
        <v>18.95</v>
      </c>
      <c r="AA44" s="8">
        <v>153</v>
      </c>
      <c r="AB44" s="4">
        <f t="shared" si="48"/>
        <v>134.05000000000001</v>
      </c>
      <c r="AC44" s="9">
        <f t="shared" si="41"/>
        <v>0.87614379084967331</v>
      </c>
      <c r="AD44" s="11">
        <f t="shared" si="42"/>
        <v>-134.05000000000001</v>
      </c>
      <c r="AE44" s="5">
        <v>1.01</v>
      </c>
      <c r="AG44" s="3">
        <v>7</v>
      </c>
      <c r="AH44" s="3">
        <v>125.68</v>
      </c>
      <c r="AI44" s="3">
        <v>20</v>
      </c>
      <c r="AJ44" s="4">
        <f t="shared" si="49"/>
        <v>105.68</v>
      </c>
      <c r="AK44" s="9">
        <f t="shared" si="43"/>
        <v>5.2840000000000007</v>
      </c>
      <c r="AL44" s="11">
        <f t="shared" si="44"/>
        <v>105.68</v>
      </c>
      <c r="AM44" s="5">
        <v>1.3</v>
      </c>
      <c r="AO44" s="3">
        <v>7</v>
      </c>
      <c r="AP44" s="3">
        <v>49.38</v>
      </c>
      <c r="AQ44" s="3">
        <v>19</v>
      </c>
      <c r="AR44" s="4">
        <f t="shared" si="50"/>
        <v>30.380000000000003</v>
      </c>
      <c r="AS44" s="9">
        <f t="shared" si="45"/>
        <v>1.5989473684210527</v>
      </c>
      <c r="AT44" s="11">
        <f t="shared" si="46"/>
        <v>30.380000000000003</v>
      </c>
      <c r="AU44" s="5">
        <v>1.22</v>
      </c>
    </row>
    <row r="45" spans="1:47" ht="18" x14ac:dyDescent="0.3">
      <c r="A45" s="3">
        <v>8</v>
      </c>
      <c r="B45" s="3">
        <v>17.52</v>
      </c>
      <c r="C45" s="3">
        <v>21</v>
      </c>
      <c r="D45" s="4">
        <f t="shared" si="36"/>
        <v>3.4800000000000004</v>
      </c>
      <c r="E45" s="9">
        <f t="shared" si="37"/>
        <v>0.16571428571428573</v>
      </c>
      <c r="F45" s="11">
        <f t="shared" si="38"/>
        <v>-3.4800000000000004</v>
      </c>
      <c r="G45" s="3">
        <v>1.01</v>
      </c>
      <c r="H45" s="1"/>
      <c r="I45" s="3">
        <v>8</v>
      </c>
      <c r="J45" s="3">
        <v>6.82</v>
      </c>
      <c r="K45" s="3">
        <v>20</v>
      </c>
      <c r="L45" s="4">
        <f t="shared" si="47"/>
        <v>13.18</v>
      </c>
      <c r="M45" s="9">
        <f t="shared" si="39"/>
        <v>0.65900000000000003</v>
      </c>
      <c r="N45" s="11">
        <f t="shared" si="40"/>
        <v>-13.18</v>
      </c>
      <c r="O45" s="3">
        <v>1.01</v>
      </c>
      <c r="P45" s="1"/>
      <c r="Y45" s="3">
        <v>8</v>
      </c>
      <c r="Z45" s="3">
        <v>20.34</v>
      </c>
      <c r="AA45" s="8">
        <v>160</v>
      </c>
      <c r="AB45" s="4">
        <f t="shared" si="48"/>
        <v>139.66</v>
      </c>
      <c r="AC45" s="9">
        <f t="shared" si="41"/>
        <v>0.87287499999999996</v>
      </c>
      <c r="AD45" s="11">
        <f t="shared" si="42"/>
        <v>-139.66</v>
      </c>
      <c r="AE45" s="5">
        <v>1.01</v>
      </c>
      <c r="AG45" s="3">
        <v>8</v>
      </c>
      <c r="AH45" s="3">
        <v>155.07</v>
      </c>
      <c r="AI45" s="3">
        <v>19</v>
      </c>
      <c r="AJ45" s="4">
        <f t="shared" si="49"/>
        <v>136.07</v>
      </c>
      <c r="AK45" s="9">
        <f t="shared" si="43"/>
        <v>7.1615789473684206</v>
      </c>
      <c r="AL45" s="11">
        <f t="shared" si="44"/>
        <v>136.07</v>
      </c>
      <c r="AM45" s="5">
        <v>1.2</v>
      </c>
      <c r="AO45" s="3">
        <v>8</v>
      </c>
      <c r="AP45" s="5">
        <v>54.75</v>
      </c>
      <c r="AQ45" s="3">
        <v>20</v>
      </c>
      <c r="AR45" s="4">
        <f t="shared" si="50"/>
        <v>34.75</v>
      </c>
      <c r="AS45" s="9">
        <f t="shared" si="45"/>
        <v>1.7375</v>
      </c>
      <c r="AT45" s="11">
        <f t="shared" si="46"/>
        <v>34.75</v>
      </c>
      <c r="AU45" s="5">
        <v>1.1100000000000001</v>
      </c>
    </row>
    <row r="46" spans="1:47" ht="18" x14ac:dyDescent="0.3">
      <c r="A46" s="3">
        <v>9</v>
      </c>
      <c r="B46" s="3">
        <v>19.579999999999998</v>
      </c>
      <c r="C46" s="3">
        <v>21</v>
      </c>
      <c r="D46" s="4">
        <f t="shared" si="36"/>
        <v>1.4200000000000017</v>
      </c>
      <c r="E46" s="9">
        <f t="shared" si="37"/>
        <v>6.7619047619047704E-2</v>
      </c>
      <c r="F46" s="11">
        <f t="shared" si="38"/>
        <v>-1.4200000000000017</v>
      </c>
      <c r="G46" s="3">
        <v>1.01</v>
      </c>
      <c r="H46" s="1"/>
      <c r="I46" s="3">
        <v>9</v>
      </c>
      <c r="J46" s="3">
        <v>6.74</v>
      </c>
      <c r="K46" s="3">
        <v>20</v>
      </c>
      <c r="L46" s="4">
        <f t="shared" si="47"/>
        <v>13.26</v>
      </c>
      <c r="M46" s="9">
        <f t="shared" si="39"/>
        <v>0.66300000000000003</v>
      </c>
      <c r="N46" s="11">
        <f t="shared" si="40"/>
        <v>-13.26</v>
      </c>
      <c r="O46" s="5">
        <v>1</v>
      </c>
      <c r="P46" s="1"/>
      <c r="Y46" s="3">
        <v>9</v>
      </c>
      <c r="Z46" s="3">
        <v>22.44</v>
      </c>
      <c r="AA46" s="8">
        <v>166</v>
      </c>
      <c r="AB46" s="4">
        <f t="shared" si="48"/>
        <v>143.56</v>
      </c>
      <c r="AC46" s="9">
        <f t="shared" si="41"/>
        <v>0.86481927710843376</v>
      </c>
      <c r="AD46" s="11">
        <f t="shared" si="42"/>
        <v>-143.56</v>
      </c>
      <c r="AE46" s="5">
        <v>1.01</v>
      </c>
      <c r="AG46" s="3">
        <v>9</v>
      </c>
      <c r="AH46" s="3">
        <v>131.34</v>
      </c>
      <c r="AI46" s="3">
        <v>19</v>
      </c>
      <c r="AJ46" s="4">
        <f t="shared" si="49"/>
        <v>112.34</v>
      </c>
      <c r="AK46" s="9">
        <f t="shared" si="43"/>
        <v>5.9126315789473685</v>
      </c>
      <c r="AL46" s="11">
        <f t="shared" si="44"/>
        <v>112.34</v>
      </c>
      <c r="AM46" s="5">
        <v>1.2</v>
      </c>
      <c r="AO46" s="3">
        <v>9</v>
      </c>
      <c r="AP46" s="3">
        <v>49.86</v>
      </c>
      <c r="AQ46" s="3">
        <v>20</v>
      </c>
      <c r="AR46" s="4">
        <f t="shared" si="50"/>
        <v>29.86</v>
      </c>
      <c r="AS46" s="9">
        <f t="shared" si="45"/>
        <v>1.4929999999999999</v>
      </c>
      <c r="AT46" s="11">
        <f t="shared" si="46"/>
        <v>29.86</v>
      </c>
      <c r="AU46" s="5">
        <v>1.3</v>
      </c>
    </row>
    <row r="47" spans="1:47" ht="18" x14ac:dyDescent="0.3">
      <c r="A47" s="3">
        <v>10</v>
      </c>
      <c r="B47" s="5">
        <v>18.170000000000002</v>
      </c>
      <c r="C47" s="3">
        <v>21</v>
      </c>
      <c r="D47" s="4">
        <f t="shared" si="36"/>
        <v>2.8299999999999983</v>
      </c>
      <c r="E47" s="9">
        <f t="shared" si="37"/>
        <v>0.13476190476190469</v>
      </c>
      <c r="F47" s="11">
        <f t="shared" si="38"/>
        <v>-2.8299999999999983</v>
      </c>
      <c r="G47" s="3">
        <v>1.02</v>
      </c>
      <c r="H47" s="1"/>
      <c r="I47" s="3">
        <v>10</v>
      </c>
      <c r="J47" s="5">
        <v>6.83</v>
      </c>
      <c r="K47" s="3">
        <v>20</v>
      </c>
      <c r="L47" s="4">
        <f t="shared" si="47"/>
        <v>13.17</v>
      </c>
      <c r="M47" s="9">
        <f t="shared" si="39"/>
        <v>0.65849999999999997</v>
      </c>
      <c r="N47" s="11">
        <f t="shared" si="40"/>
        <v>-13.17</v>
      </c>
      <c r="O47" s="5">
        <v>1</v>
      </c>
      <c r="P47" s="1"/>
      <c r="Y47" s="3">
        <v>10</v>
      </c>
      <c r="Z47" s="5">
        <v>20.86</v>
      </c>
      <c r="AA47" s="8">
        <v>156</v>
      </c>
      <c r="AB47" s="4">
        <f t="shared" si="48"/>
        <v>135.13999999999999</v>
      </c>
      <c r="AC47" s="9">
        <f t="shared" si="41"/>
        <v>0.86628205128205116</v>
      </c>
      <c r="AD47" s="11">
        <f t="shared" si="42"/>
        <v>-135.13999999999999</v>
      </c>
      <c r="AE47" s="5">
        <v>1.02</v>
      </c>
      <c r="AG47" s="3">
        <v>10</v>
      </c>
      <c r="AH47" s="5">
        <v>127.99</v>
      </c>
      <c r="AI47" s="3">
        <v>20</v>
      </c>
      <c r="AJ47" s="4">
        <f t="shared" si="49"/>
        <v>107.99</v>
      </c>
      <c r="AK47" s="9">
        <f t="shared" si="43"/>
        <v>5.3994999999999997</v>
      </c>
      <c r="AL47" s="11">
        <f t="shared" si="44"/>
        <v>107.99</v>
      </c>
      <c r="AM47" s="5">
        <v>1.24</v>
      </c>
      <c r="AO47" s="3">
        <v>10</v>
      </c>
      <c r="AP47" s="5">
        <v>49.68</v>
      </c>
      <c r="AQ47" s="3">
        <v>20</v>
      </c>
      <c r="AR47" s="4">
        <f t="shared" si="50"/>
        <v>29.68</v>
      </c>
      <c r="AS47" s="9">
        <f t="shared" si="45"/>
        <v>1.484</v>
      </c>
      <c r="AT47" s="11">
        <f t="shared" si="46"/>
        <v>29.68</v>
      </c>
      <c r="AU47" s="5">
        <v>1.26</v>
      </c>
    </row>
    <row r="48" spans="1:47" ht="18" x14ac:dyDescent="0.3">
      <c r="A48" s="1"/>
      <c r="B48" s="1"/>
      <c r="C48" s="1"/>
      <c r="D48" s="6" t="str">
        <f>ROUND(AVERAGE(D38:D47),3)&amp; "±" &amp;ROUND(_xlfn.STDEV.S(D38:D47),2)</f>
        <v>2.275±1.36</v>
      </c>
      <c r="E48" s="10" t="str">
        <f>TEXT(AVERAGE(E38:E47),"0.00%") &amp; "±" &amp; TEXT(_xlfn.STDEV.S(E38:E47),"0.00%")</f>
        <v>11.10%±6.72%</v>
      </c>
      <c r="F48" s="6" t="str">
        <f>ROUND(AVERAGE(F38:F47),3)&amp; "±" &amp;ROUND(_xlfn.STDEV.S(F38:F47),2)</f>
        <v>-0.583±2.69</v>
      </c>
      <c r="G48" s="6">
        <f>AVERAGE(G38:G47)</f>
        <v>1.0109999999999997</v>
      </c>
      <c r="H48" s="1"/>
      <c r="I48" s="1"/>
      <c r="J48" s="1"/>
      <c r="K48" s="1"/>
      <c r="L48" s="6" t="str">
        <f>ROUND(AVERAGE(L38:L47),3)&amp; "±" &amp;ROUND(_xlfn.STDEV.S(L38:L47),2)</f>
        <v>13.474±0.8</v>
      </c>
      <c r="M48" s="10" t="str">
        <f>TEXT(AVERAGE(M38:M47),"0.00%") &amp; "±" &amp; TEXT(_xlfn.STDEV.S(M38:M47),"0.00%")</f>
        <v>66.03%±1.99%</v>
      </c>
      <c r="N48" s="6" t="str">
        <f>ROUND(AVERAGE(N38:N47),3)&amp; "±" &amp;ROUND(_xlfn.STDEV.S(N38:N47),2)</f>
        <v>-13.474±0.8</v>
      </c>
      <c r="O48" s="6">
        <f>AVERAGE(O38:O47)</f>
        <v>1.0049999999999999</v>
      </c>
      <c r="P48" s="1"/>
      <c r="Y48" s="1"/>
      <c r="Z48" s="1"/>
      <c r="AA48" s="1"/>
      <c r="AB48" s="6" t="str">
        <f>ROUND(AVERAGE(AB38:AB47),3)&amp; "±" &amp;ROUND(_xlfn.STDEV.S(AB38:AB47),2)</f>
        <v>136.714±3.87</v>
      </c>
      <c r="AC48" s="10" t="str">
        <f>TEXT(AVERAGE(AC38:AC47),"0.00%") &amp; "±" &amp; TEXT(_xlfn.STDEV.S(AC38:AC47),"0.00%")</f>
        <v>86.69%±0.81%</v>
      </c>
      <c r="AD48" s="6" t="str">
        <f>ROUND(AVERAGE(AD38:AD47),3)&amp; "±" &amp;ROUND(_xlfn.STDEV.S(AD38:AD47),2)</f>
        <v>-136.714±3.87</v>
      </c>
      <c r="AE48" s="6">
        <f>AVERAGE(AE38:AE47)</f>
        <v>1.0099999999999998</v>
      </c>
      <c r="AG48" s="1"/>
      <c r="AH48" s="1"/>
      <c r="AI48" s="1"/>
      <c r="AJ48" s="6" t="str">
        <f>ROUND(AVERAGE(AJ38:AJ47),3)&amp; "±" &amp;ROUND(_xlfn.STDEV.S(AJ38:AJ47),2)</f>
        <v>116.721±19.11</v>
      </c>
      <c r="AK48" s="10" t="str">
        <f>TEXT(AVERAGE(AK38:AK47),"0.00%") &amp; "±" &amp; TEXT(_xlfn.STDEV.S(AK38:AK47),"0.00%")</f>
        <v>590.14%±99.75%</v>
      </c>
      <c r="AL48" s="6" t="str">
        <f>ROUND(AVERAGE(AL38:AL47),3)&amp; "±" &amp;ROUND(_xlfn.STDEV.S(AL38:AL47),2)</f>
        <v>116.721±19.11</v>
      </c>
      <c r="AM48" s="6">
        <f>AVERAGE(AM38:AM47)</f>
        <v>1.218</v>
      </c>
      <c r="AO48" s="1"/>
      <c r="AP48" s="1"/>
      <c r="AQ48" s="1"/>
      <c r="AR48" s="6" t="str">
        <f>ROUND(AVERAGE(AR38:AR47),3)&amp; "±" &amp;ROUND(_xlfn.STDEV.S(AR38:AR47),2)</f>
        <v>29.225±3.8</v>
      </c>
      <c r="AS48" s="10" t="str">
        <f>TEXT(AVERAGE(AS38:AS47),"0.00%") &amp; "±" &amp; TEXT(_xlfn.STDEV.S(AS38:AS47),"0.00%")</f>
        <v>143.47%±19.77%</v>
      </c>
      <c r="AT48" s="6" t="str">
        <f>ROUND(AVERAGE(AT38:AT47),3)&amp; "±" &amp;ROUND(_xlfn.STDEV.S(AT38:AT47),2)</f>
        <v>29.225±3.8</v>
      </c>
      <c r="AU48" s="6">
        <f>AVERAGE(AU38:AU47)</f>
        <v>1.234</v>
      </c>
    </row>
    <row r="49" spans="1:47" ht="18.75" customHeight="1" x14ac:dyDescent="0.3"/>
    <row r="50" spans="1:47" ht="18" x14ac:dyDescent="0.3">
      <c r="A50" s="30" t="s">
        <v>1</v>
      </c>
      <c r="B50" s="30"/>
      <c r="C50" s="30"/>
      <c r="D50" s="30"/>
      <c r="E50" s="30"/>
      <c r="F50" s="30"/>
      <c r="G50" s="30"/>
      <c r="I50" s="24" t="s">
        <v>12</v>
      </c>
      <c r="J50" s="24"/>
      <c r="K50" s="24"/>
      <c r="L50" s="24"/>
      <c r="M50" s="24"/>
      <c r="N50" s="24"/>
      <c r="O50" s="24"/>
      <c r="Y50" s="16" t="s">
        <v>24</v>
      </c>
      <c r="Z50" s="16"/>
      <c r="AA50" s="16"/>
      <c r="AB50" s="16"/>
      <c r="AC50" s="16"/>
      <c r="AD50" s="16"/>
      <c r="AE50" s="16"/>
      <c r="AG50" s="16" t="s">
        <v>32</v>
      </c>
      <c r="AH50" s="16"/>
      <c r="AI50" s="16"/>
      <c r="AJ50" s="16"/>
      <c r="AK50" s="16"/>
      <c r="AL50" s="16"/>
      <c r="AM50" s="16"/>
      <c r="AO50" s="16" t="s">
        <v>36</v>
      </c>
      <c r="AP50" s="16"/>
      <c r="AQ50" s="16"/>
      <c r="AR50" s="16"/>
      <c r="AS50" s="16"/>
      <c r="AT50" s="16"/>
      <c r="AU50" s="16"/>
    </row>
    <row r="51" spans="1:47" ht="18" x14ac:dyDescent="0.3">
      <c r="A51" s="2" t="s">
        <v>2</v>
      </c>
      <c r="B51" s="2" t="s">
        <v>3</v>
      </c>
      <c r="C51" s="2" t="s">
        <v>4</v>
      </c>
      <c r="D51" s="2" t="s">
        <v>5</v>
      </c>
      <c r="E51" s="2" t="s">
        <v>19</v>
      </c>
      <c r="F51" s="2" t="s">
        <v>20</v>
      </c>
      <c r="G51" s="2" t="s">
        <v>6</v>
      </c>
      <c r="I51" s="2" t="s">
        <v>2</v>
      </c>
      <c r="J51" s="2" t="s">
        <v>3</v>
      </c>
      <c r="K51" s="2" t="s">
        <v>4</v>
      </c>
      <c r="L51" s="2" t="s">
        <v>5</v>
      </c>
      <c r="M51" s="2" t="s">
        <v>19</v>
      </c>
      <c r="N51" s="2" t="s">
        <v>20</v>
      </c>
      <c r="O51" s="2" t="s">
        <v>6</v>
      </c>
      <c r="Y51" s="2" t="s">
        <v>2</v>
      </c>
      <c r="Z51" s="2" t="s">
        <v>3</v>
      </c>
      <c r="AA51" s="2" t="s">
        <v>4</v>
      </c>
      <c r="AB51" s="2" t="s">
        <v>5</v>
      </c>
      <c r="AC51" s="2" t="s">
        <v>19</v>
      </c>
      <c r="AD51" s="2" t="s">
        <v>20</v>
      </c>
      <c r="AE51" s="2" t="s">
        <v>6</v>
      </c>
      <c r="AG51" s="2" t="s">
        <v>2</v>
      </c>
      <c r="AH51" s="2" t="s">
        <v>3</v>
      </c>
      <c r="AI51" s="2" t="s">
        <v>4</v>
      </c>
      <c r="AJ51" s="2" t="s">
        <v>5</v>
      </c>
      <c r="AK51" s="2" t="s">
        <v>19</v>
      </c>
      <c r="AL51" s="2" t="s">
        <v>20</v>
      </c>
      <c r="AM51" s="2" t="s">
        <v>6</v>
      </c>
      <c r="AO51" s="2" t="s">
        <v>2</v>
      </c>
      <c r="AP51" s="2" t="s">
        <v>3</v>
      </c>
      <c r="AQ51" s="2" t="s">
        <v>4</v>
      </c>
      <c r="AR51" s="2" t="s">
        <v>5</v>
      </c>
      <c r="AS51" s="2" t="s">
        <v>19</v>
      </c>
      <c r="AT51" s="2" t="s">
        <v>20</v>
      </c>
      <c r="AU51" s="2" t="s">
        <v>6</v>
      </c>
    </row>
    <row r="52" spans="1:47" ht="18" x14ac:dyDescent="0.3">
      <c r="A52" s="3">
        <v>1</v>
      </c>
      <c r="B52" s="5">
        <v>17.2</v>
      </c>
      <c r="C52" s="3">
        <v>21</v>
      </c>
      <c r="D52" s="4">
        <f t="shared" ref="D52:D61" si="51">ABS(B52-C52)</f>
        <v>3.8000000000000007</v>
      </c>
      <c r="E52" s="9">
        <f t="shared" ref="E52:E61" si="52">ABS(B52-C52)/C52</f>
        <v>0.18095238095238098</v>
      </c>
      <c r="F52" s="11">
        <f t="shared" ref="F52:F61" si="53">B52-C52</f>
        <v>-3.8000000000000007</v>
      </c>
      <c r="G52" s="5">
        <v>1</v>
      </c>
      <c r="I52" s="3">
        <v>1</v>
      </c>
      <c r="J52" s="3">
        <v>82.56</v>
      </c>
      <c r="K52" s="3">
        <v>20</v>
      </c>
      <c r="L52" s="4">
        <f>ABS(J52-K52)</f>
        <v>62.56</v>
      </c>
      <c r="M52" s="9">
        <f t="shared" ref="M52:M61" si="54">ABS(J52-K52)/K52</f>
        <v>3.1280000000000001</v>
      </c>
      <c r="N52" s="11">
        <f t="shared" ref="N52:N61" si="55">J52-K52</f>
        <v>62.56</v>
      </c>
      <c r="O52" s="3">
        <v>1.78</v>
      </c>
      <c r="Y52" s="3">
        <v>1</v>
      </c>
      <c r="Z52" s="3">
        <v>20.99</v>
      </c>
      <c r="AA52" s="3">
        <v>165</v>
      </c>
      <c r="AB52" s="4">
        <f>ABS(Z52-AA52)</f>
        <v>144.01</v>
      </c>
      <c r="AC52" s="9">
        <f t="shared" ref="AC52:AC61" si="56">ABS(Z52-AA52)/AA52</f>
        <v>0.87278787878787878</v>
      </c>
      <c r="AD52" s="11">
        <f t="shared" ref="AD52:AD61" si="57">Z52-AA52</f>
        <v>-144.01</v>
      </c>
      <c r="AE52" s="5">
        <v>1.01</v>
      </c>
      <c r="AG52" s="3">
        <v>1</v>
      </c>
      <c r="AH52" s="3">
        <v>185.78</v>
      </c>
      <c r="AI52" s="3">
        <v>20</v>
      </c>
      <c r="AJ52" s="4">
        <f>ABS(AH52-AI52)</f>
        <v>165.78</v>
      </c>
      <c r="AK52" s="9">
        <f t="shared" ref="AK52:AK61" si="58">ABS(AH52-AI52)/AI52</f>
        <v>8.2889999999999997</v>
      </c>
      <c r="AL52" s="11">
        <f t="shared" ref="AL52:AL61" si="59">AH52-AI52</f>
        <v>165.78</v>
      </c>
      <c r="AM52" s="5">
        <v>1.55</v>
      </c>
      <c r="AO52" s="3">
        <v>1</v>
      </c>
      <c r="AP52" s="3">
        <v>51.03</v>
      </c>
      <c r="AQ52" s="3">
        <v>20</v>
      </c>
      <c r="AR52" s="4">
        <f>ABS(AP52-AQ52)</f>
        <v>31.03</v>
      </c>
      <c r="AS52" s="9">
        <f t="shared" ref="AS52:AS61" si="60">ABS(AP52-AQ52)/AQ52</f>
        <v>1.5515000000000001</v>
      </c>
      <c r="AT52" s="11">
        <f t="shared" ref="AT52:AT61" si="61">AP52-AQ52</f>
        <v>31.03</v>
      </c>
      <c r="AU52" s="5">
        <v>1.98</v>
      </c>
    </row>
    <row r="53" spans="1:47" ht="18" x14ac:dyDescent="0.3">
      <c r="A53" s="3">
        <v>2</v>
      </c>
      <c r="B53" s="3">
        <v>21.18</v>
      </c>
      <c r="C53" s="3">
        <v>19</v>
      </c>
      <c r="D53" s="4">
        <f t="shared" si="51"/>
        <v>2.1799999999999997</v>
      </c>
      <c r="E53" s="9">
        <f t="shared" si="52"/>
        <v>0.11473684210526314</v>
      </c>
      <c r="F53" s="11">
        <f t="shared" si="53"/>
        <v>2.1799999999999997</v>
      </c>
      <c r="G53" s="3">
        <v>1.02</v>
      </c>
      <c r="I53" s="3">
        <v>2</v>
      </c>
      <c r="J53" s="3">
        <v>61.41</v>
      </c>
      <c r="K53" s="3">
        <v>21</v>
      </c>
      <c r="L53" s="4">
        <f t="shared" ref="L53:L61" si="62">ABS(J53-K53)</f>
        <v>40.409999999999997</v>
      </c>
      <c r="M53" s="9">
        <f t="shared" si="54"/>
        <v>1.9242857142857142</v>
      </c>
      <c r="N53" s="11">
        <f t="shared" si="55"/>
        <v>40.409999999999997</v>
      </c>
      <c r="O53" s="3">
        <v>2.46</v>
      </c>
      <c r="Y53" s="3">
        <v>2</v>
      </c>
      <c r="Z53" s="3">
        <v>21.42</v>
      </c>
      <c r="AA53" s="3">
        <v>158</v>
      </c>
      <c r="AB53" s="4">
        <f t="shared" ref="AB53:AB61" si="63">ABS(Z53-AA53)</f>
        <v>136.57999999999998</v>
      </c>
      <c r="AC53" s="9">
        <f t="shared" si="56"/>
        <v>0.86443037974683534</v>
      </c>
      <c r="AD53" s="11">
        <f t="shared" si="57"/>
        <v>-136.57999999999998</v>
      </c>
      <c r="AE53" s="5">
        <v>1.01</v>
      </c>
      <c r="AG53" s="3">
        <v>2</v>
      </c>
      <c r="AH53" s="3">
        <v>154.80000000000001</v>
      </c>
      <c r="AI53" s="3">
        <v>20</v>
      </c>
      <c r="AJ53" s="4">
        <f t="shared" ref="AJ53:AJ61" si="64">ABS(AH53-AI53)</f>
        <v>134.80000000000001</v>
      </c>
      <c r="AK53" s="9">
        <f t="shared" si="58"/>
        <v>6.74</v>
      </c>
      <c r="AL53" s="11">
        <f t="shared" si="59"/>
        <v>134.80000000000001</v>
      </c>
      <c r="AM53" s="5">
        <v>2.0699999999999998</v>
      </c>
      <c r="AO53" s="3">
        <v>2</v>
      </c>
      <c r="AP53" s="3">
        <v>61.44</v>
      </c>
      <c r="AQ53" s="3">
        <v>22</v>
      </c>
      <c r="AR53" s="4">
        <f t="shared" ref="AR53:AR61" si="65">ABS(AP53-AQ53)</f>
        <v>39.44</v>
      </c>
      <c r="AS53" s="9">
        <f t="shared" si="60"/>
        <v>1.7927272727272727</v>
      </c>
      <c r="AT53" s="11">
        <f t="shared" si="61"/>
        <v>39.44</v>
      </c>
      <c r="AU53" s="5">
        <v>1.55</v>
      </c>
    </row>
    <row r="54" spans="1:47" ht="18" x14ac:dyDescent="0.3">
      <c r="A54" s="3">
        <v>3</v>
      </c>
      <c r="B54" s="3">
        <v>22.41</v>
      </c>
      <c r="C54" s="3">
        <v>21</v>
      </c>
      <c r="D54" s="4">
        <f t="shared" si="51"/>
        <v>1.4100000000000001</v>
      </c>
      <c r="E54" s="9">
        <f t="shared" si="52"/>
        <v>6.7142857142857143E-2</v>
      </c>
      <c r="F54" s="11">
        <f t="shared" si="53"/>
        <v>1.4100000000000001</v>
      </c>
      <c r="G54" s="3">
        <v>1.01</v>
      </c>
      <c r="I54" s="3">
        <v>3</v>
      </c>
      <c r="J54" s="5">
        <v>59.9</v>
      </c>
      <c r="K54" s="3">
        <v>21</v>
      </c>
      <c r="L54" s="4">
        <f t="shared" si="62"/>
        <v>38.9</v>
      </c>
      <c r="M54" s="9">
        <f t="shared" si="54"/>
        <v>1.8523809523809522</v>
      </c>
      <c r="N54" s="11">
        <f t="shared" si="55"/>
        <v>38.9</v>
      </c>
      <c r="O54" s="3">
        <v>2.17</v>
      </c>
      <c r="Y54" s="3">
        <v>3</v>
      </c>
      <c r="Z54" s="3">
        <v>22.79</v>
      </c>
      <c r="AA54" s="3">
        <v>174</v>
      </c>
      <c r="AB54" s="4">
        <f t="shared" si="63"/>
        <v>151.21</v>
      </c>
      <c r="AC54" s="9">
        <f t="shared" si="56"/>
        <v>0.86902298850574722</v>
      </c>
      <c r="AD54" s="11">
        <f t="shared" si="57"/>
        <v>-151.21</v>
      </c>
      <c r="AE54" s="5">
        <v>1.01</v>
      </c>
      <c r="AG54" s="3">
        <v>3</v>
      </c>
      <c r="AH54" s="3">
        <v>177.77</v>
      </c>
      <c r="AI54" s="3">
        <v>20</v>
      </c>
      <c r="AJ54" s="4">
        <f t="shared" si="64"/>
        <v>157.77000000000001</v>
      </c>
      <c r="AK54" s="9">
        <f t="shared" si="58"/>
        <v>7.8885000000000005</v>
      </c>
      <c r="AL54" s="11">
        <f t="shared" si="59"/>
        <v>157.77000000000001</v>
      </c>
      <c r="AM54" s="5">
        <v>1.74</v>
      </c>
      <c r="AO54" s="3">
        <v>3</v>
      </c>
      <c r="AP54" s="3">
        <v>61.48</v>
      </c>
      <c r="AQ54" s="3">
        <v>21</v>
      </c>
      <c r="AR54" s="4">
        <f t="shared" si="65"/>
        <v>40.479999999999997</v>
      </c>
      <c r="AS54" s="9">
        <f t="shared" si="60"/>
        <v>1.9276190476190476</v>
      </c>
      <c r="AT54" s="11">
        <f t="shared" si="61"/>
        <v>40.479999999999997</v>
      </c>
      <c r="AU54" s="5">
        <v>1.61</v>
      </c>
    </row>
    <row r="55" spans="1:47" ht="18" x14ac:dyDescent="0.3">
      <c r="A55" s="3">
        <v>4</v>
      </c>
      <c r="B55" s="3">
        <v>22.12</v>
      </c>
      <c r="C55" s="3">
        <v>20</v>
      </c>
      <c r="D55" s="4">
        <f t="shared" si="51"/>
        <v>2.120000000000001</v>
      </c>
      <c r="E55" s="9">
        <f t="shared" si="52"/>
        <v>0.10600000000000005</v>
      </c>
      <c r="F55" s="11">
        <f t="shared" si="53"/>
        <v>2.120000000000001</v>
      </c>
      <c r="G55" s="3">
        <v>1.01</v>
      </c>
      <c r="I55" s="3">
        <v>4</v>
      </c>
      <c r="J55" s="3">
        <v>57.86</v>
      </c>
      <c r="K55" s="3">
        <v>19</v>
      </c>
      <c r="L55" s="4">
        <f t="shared" si="62"/>
        <v>38.86</v>
      </c>
      <c r="M55" s="9">
        <f t="shared" si="54"/>
        <v>2.0452631578947367</v>
      </c>
      <c r="N55" s="11">
        <f t="shared" si="55"/>
        <v>38.86</v>
      </c>
      <c r="O55" s="3">
        <v>2.41</v>
      </c>
      <c r="Y55" s="3">
        <v>4</v>
      </c>
      <c r="Z55" s="5">
        <v>23.17</v>
      </c>
      <c r="AA55" s="3">
        <v>163</v>
      </c>
      <c r="AB55" s="4">
        <f t="shared" si="63"/>
        <v>139.82999999999998</v>
      </c>
      <c r="AC55" s="9">
        <f t="shared" si="56"/>
        <v>0.85785276073619621</v>
      </c>
      <c r="AD55" s="11">
        <f t="shared" si="57"/>
        <v>-139.82999999999998</v>
      </c>
      <c r="AE55" s="5">
        <v>1.01</v>
      </c>
      <c r="AG55" s="3">
        <v>4</v>
      </c>
      <c r="AH55" s="3">
        <v>174.56</v>
      </c>
      <c r="AI55" s="3">
        <v>20</v>
      </c>
      <c r="AJ55" s="4">
        <f t="shared" si="64"/>
        <v>154.56</v>
      </c>
      <c r="AK55" s="9">
        <f t="shared" si="58"/>
        <v>7.7279999999999998</v>
      </c>
      <c r="AL55" s="11">
        <f t="shared" si="59"/>
        <v>154.56</v>
      </c>
      <c r="AM55" s="5">
        <v>1.64</v>
      </c>
      <c r="AO55" s="3">
        <v>4</v>
      </c>
      <c r="AP55" s="3">
        <v>52.49</v>
      </c>
      <c r="AQ55" s="3">
        <v>21</v>
      </c>
      <c r="AR55" s="4">
        <f t="shared" si="65"/>
        <v>31.490000000000002</v>
      </c>
      <c r="AS55" s="9">
        <f t="shared" si="60"/>
        <v>1.4995238095238097</v>
      </c>
      <c r="AT55" s="11">
        <f t="shared" si="61"/>
        <v>31.490000000000002</v>
      </c>
      <c r="AU55" s="5">
        <v>1.89</v>
      </c>
    </row>
    <row r="56" spans="1:47" ht="18" x14ac:dyDescent="0.3">
      <c r="A56" s="3">
        <v>5</v>
      </c>
      <c r="B56" s="3">
        <v>17.96</v>
      </c>
      <c r="C56" s="3">
        <v>20</v>
      </c>
      <c r="D56" s="4">
        <f t="shared" si="51"/>
        <v>2.0399999999999991</v>
      </c>
      <c r="E56" s="9">
        <f t="shared" si="52"/>
        <v>0.10199999999999995</v>
      </c>
      <c r="F56" s="11">
        <f t="shared" si="53"/>
        <v>-2.0399999999999991</v>
      </c>
      <c r="G56" s="5">
        <v>1</v>
      </c>
      <c r="I56" s="3">
        <v>5</v>
      </c>
      <c r="J56" s="3">
        <v>63.35</v>
      </c>
      <c r="K56" s="3">
        <v>20</v>
      </c>
      <c r="L56" s="4">
        <f t="shared" si="62"/>
        <v>43.35</v>
      </c>
      <c r="M56" s="9">
        <f t="shared" si="54"/>
        <v>2.1675</v>
      </c>
      <c r="N56" s="11">
        <f t="shared" si="55"/>
        <v>43.35</v>
      </c>
      <c r="O56" s="3">
        <v>1.88</v>
      </c>
      <c r="Y56" s="3">
        <v>5</v>
      </c>
      <c r="Z56" s="3">
        <v>19.62</v>
      </c>
      <c r="AA56" s="3">
        <v>157</v>
      </c>
      <c r="AB56" s="4">
        <f t="shared" si="63"/>
        <v>137.38</v>
      </c>
      <c r="AC56" s="9">
        <f t="shared" si="56"/>
        <v>0.87503184713375792</v>
      </c>
      <c r="AD56" s="11">
        <f t="shared" si="57"/>
        <v>-137.38</v>
      </c>
      <c r="AE56" s="5">
        <v>1.01</v>
      </c>
      <c r="AG56" s="3">
        <v>5</v>
      </c>
      <c r="AH56" s="3">
        <v>151.12</v>
      </c>
      <c r="AI56" s="3">
        <v>20</v>
      </c>
      <c r="AJ56" s="4">
        <f t="shared" si="64"/>
        <v>131.12</v>
      </c>
      <c r="AK56" s="9">
        <f t="shared" si="58"/>
        <v>6.556</v>
      </c>
      <c r="AL56" s="11">
        <f t="shared" si="59"/>
        <v>131.12</v>
      </c>
      <c r="AM56" s="5">
        <v>1.73</v>
      </c>
      <c r="AO56" s="3">
        <v>5</v>
      </c>
      <c r="AP56" s="3">
        <v>42.43</v>
      </c>
      <c r="AQ56" s="3">
        <v>20</v>
      </c>
      <c r="AR56" s="4">
        <f t="shared" si="65"/>
        <v>22.43</v>
      </c>
      <c r="AS56" s="9">
        <f t="shared" si="60"/>
        <v>1.1214999999999999</v>
      </c>
      <c r="AT56" s="11">
        <f t="shared" si="61"/>
        <v>22.43</v>
      </c>
      <c r="AU56" s="5">
        <v>2.19</v>
      </c>
    </row>
    <row r="57" spans="1:47" ht="18" x14ac:dyDescent="0.3">
      <c r="A57" s="3">
        <v>6</v>
      </c>
      <c r="B57" s="3">
        <v>14.14</v>
      </c>
      <c r="C57" s="3">
        <v>20</v>
      </c>
      <c r="D57" s="4">
        <f t="shared" si="51"/>
        <v>5.8599999999999994</v>
      </c>
      <c r="E57" s="9">
        <f t="shared" si="52"/>
        <v>0.29299999999999998</v>
      </c>
      <c r="F57" s="11">
        <f t="shared" si="53"/>
        <v>-5.8599999999999994</v>
      </c>
      <c r="G57" s="3">
        <v>1.01</v>
      </c>
      <c r="I57" s="3">
        <v>6</v>
      </c>
      <c r="J57" s="3">
        <v>43.58</v>
      </c>
      <c r="K57" s="3">
        <v>20</v>
      </c>
      <c r="L57" s="4">
        <f t="shared" si="62"/>
        <v>23.58</v>
      </c>
      <c r="M57" s="9">
        <f t="shared" si="54"/>
        <v>1.1789999999999998</v>
      </c>
      <c r="N57" s="11">
        <f t="shared" si="55"/>
        <v>23.58</v>
      </c>
      <c r="O57" s="3">
        <v>2.2200000000000002</v>
      </c>
      <c r="Y57" s="3">
        <v>6</v>
      </c>
      <c r="Z57" s="3">
        <v>21.91</v>
      </c>
      <c r="AA57" s="3">
        <v>172</v>
      </c>
      <c r="AB57" s="4">
        <f t="shared" si="63"/>
        <v>150.09</v>
      </c>
      <c r="AC57" s="9">
        <f t="shared" si="56"/>
        <v>0.87261627906976746</v>
      </c>
      <c r="AD57" s="11">
        <f t="shared" si="57"/>
        <v>-150.09</v>
      </c>
      <c r="AE57" s="5">
        <v>1</v>
      </c>
      <c r="AG57" s="3">
        <v>6</v>
      </c>
      <c r="AH57" s="3">
        <v>109.74</v>
      </c>
      <c r="AI57" s="3">
        <v>20</v>
      </c>
      <c r="AJ57" s="4">
        <f t="shared" si="64"/>
        <v>89.74</v>
      </c>
      <c r="AK57" s="9">
        <f t="shared" si="58"/>
        <v>4.4870000000000001</v>
      </c>
      <c r="AL57" s="11">
        <f t="shared" si="59"/>
        <v>89.74</v>
      </c>
      <c r="AM57" s="5">
        <v>1.76</v>
      </c>
      <c r="AO57" s="3">
        <v>6</v>
      </c>
      <c r="AP57" s="3">
        <v>59.92</v>
      </c>
      <c r="AQ57" s="3">
        <v>21</v>
      </c>
      <c r="AR57" s="4">
        <f t="shared" si="65"/>
        <v>38.92</v>
      </c>
      <c r="AS57" s="9">
        <f t="shared" si="60"/>
        <v>1.8533333333333335</v>
      </c>
      <c r="AT57" s="11">
        <f t="shared" si="61"/>
        <v>38.92</v>
      </c>
      <c r="AU57" s="5">
        <v>1.77</v>
      </c>
    </row>
    <row r="58" spans="1:47" ht="18" x14ac:dyDescent="0.3">
      <c r="A58" s="3">
        <v>7</v>
      </c>
      <c r="B58" s="3">
        <v>19.13</v>
      </c>
      <c r="C58" s="3">
        <v>20</v>
      </c>
      <c r="D58" s="4">
        <f t="shared" si="51"/>
        <v>0.87000000000000099</v>
      </c>
      <c r="E58" s="9">
        <f t="shared" si="52"/>
        <v>4.3500000000000053E-2</v>
      </c>
      <c r="F58" s="11">
        <f t="shared" si="53"/>
        <v>-0.87000000000000099</v>
      </c>
      <c r="G58" s="3">
        <v>1.02</v>
      </c>
      <c r="I58" s="3">
        <v>7</v>
      </c>
      <c r="J58" s="3">
        <v>49.34</v>
      </c>
      <c r="K58" s="3">
        <v>21</v>
      </c>
      <c r="L58" s="4">
        <f t="shared" si="62"/>
        <v>28.340000000000003</v>
      </c>
      <c r="M58" s="9">
        <f t="shared" si="54"/>
        <v>1.3495238095238098</v>
      </c>
      <c r="N58" s="11">
        <f t="shared" si="55"/>
        <v>28.340000000000003</v>
      </c>
      <c r="O58" s="5">
        <v>2.2999999999999998</v>
      </c>
      <c r="Y58" s="3">
        <v>7</v>
      </c>
      <c r="Z58" s="5">
        <v>18.53</v>
      </c>
      <c r="AA58" s="3">
        <v>149</v>
      </c>
      <c r="AB58" s="4">
        <f t="shared" si="63"/>
        <v>130.47</v>
      </c>
      <c r="AC58" s="9">
        <f t="shared" si="56"/>
        <v>0.87563758389261748</v>
      </c>
      <c r="AD58" s="11">
        <f t="shared" si="57"/>
        <v>-130.47</v>
      </c>
      <c r="AE58" s="5">
        <v>1</v>
      </c>
      <c r="AG58" s="3">
        <v>7</v>
      </c>
      <c r="AH58" s="3">
        <v>132.53</v>
      </c>
      <c r="AI58" s="3">
        <v>20</v>
      </c>
      <c r="AJ58" s="4">
        <f t="shared" si="64"/>
        <v>112.53</v>
      </c>
      <c r="AK58" s="9">
        <f t="shared" si="58"/>
        <v>5.6265000000000001</v>
      </c>
      <c r="AL58" s="11">
        <f t="shared" si="59"/>
        <v>112.53</v>
      </c>
      <c r="AM58" s="5">
        <v>1.85</v>
      </c>
      <c r="AO58" s="3">
        <v>7</v>
      </c>
      <c r="AP58" s="3">
        <v>51.32</v>
      </c>
      <c r="AQ58" s="3">
        <v>19</v>
      </c>
      <c r="AR58" s="4">
        <f t="shared" si="65"/>
        <v>32.32</v>
      </c>
      <c r="AS58" s="9">
        <f t="shared" si="60"/>
        <v>1.7010526315789474</v>
      </c>
      <c r="AT58" s="11">
        <f t="shared" si="61"/>
        <v>32.32</v>
      </c>
      <c r="AU58" s="5">
        <v>1.87</v>
      </c>
    </row>
    <row r="59" spans="1:47" ht="18" x14ac:dyDescent="0.3">
      <c r="A59" s="3">
        <v>8</v>
      </c>
      <c r="B59" s="5">
        <v>15.64</v>
      </c>
      <c r="C59" s="3">
        <v>21</v>
      </c>
      <c r="D59" s="4">
        <f t="shared" si="51"/>
        <v>5.3599999999999994</v>
      </c>
      <c r="E59" s="9">
        <f t="shared" si="52"/>
        <v>0.25523809523809521</v>
      </c>
      <c r="F59" s="11">
        <f t="shared" si="53"/>
        <v>-5.3599999999999994</v>
      </c>
      <c r="G59" s="3">
        <v>1.01</v>
      </c>
      <c r="I59" s="3">
        <v>8</v>
      </c>
      <c r="J59" s="3">
        <v>42.58</v>
      </c>
      <c r="K59" s="3">
        <v>21</v>
      </c>
      <c r="L59" s="4">
        <f t="shared" si="62"/>
        <v>21.58</v>
      </c>
      <c r="M59" s="9">
        <f t="shared" si="54"/>
        <v>1.0276190476190474</v>
      </c>
      <c r="N59" s="11">
        <f t="shared" si="55"/>
        <v>21.58</v>
      </c>
      <c r="O59" s="3">
        <v>2.39</v>
      </c>
      <c r="Y59" s="3">
        <v>8</v>
      </c>
      <c r="Z59" s="3">
        <v>22.95</v>
      </c>
      <c r="AA59" s="3">
        <v>166</v>
      </c>
      <c r="AB59" s="4">
        <f t="shared" si="63"/>
        <v>143.05000000000001</v>
      </c>
      <c r="AC59" s="9">
        <f t="shared" si="56"/>
        <v>0.86174698795180726</v>
      </c>
      <c r="AD59" s="11">
        <f t="shared" si="57"/>
        <v>-143.05000000000001</v>
      </c>
      <c r="AE59" s="5">
        <v>1.01</v>
      </c>
      <c r="AG59" s="3">
        <v>8</v>
      </c>
      <c r="AH59" s="3">
        <v>179.78</v>
      </c>
      <c r="AI59" s="3">
        <v>19</v>
      </c>
      <c r="AJ59" s="4">
        <f t="shared" si="64"/>
        <v>160.78</v>
      </c>
      <c r="AK59" s="9">
        <f t="shared" si="58"/>
        <v>8.4621052631578948</v>
      </c>
      <c r="AL59" s="11">
        <f t="shared" si="59"/>
        <v>160.78</v>
      </c>
      <c r="AM59" s="5">
        <v>1.65</v>
      </c>
      <c r="AO59" s="3">
        <v>8</v>
      </c>
      <c r="AP59" s="5">
        <v>73.78</v>
      </c>
      <c r="AQ59" s="3">
        <v>20</v>
      </c>
      <c r="AR59" s="4">
        <f t="shared" si="65"/>
        <v>53.78</v>
      </c>
      <c r="AS59" s="9">
        <f t="shared" si="60"/>
        <v>2.6890000000000001</v>
      </c>
      <c r="AT59" s="11">
        <f t="shared" si="61"/>
        <v>53.78</v>
      </c>
      <c r="AU59" s="5">
        <v>1.44</v>
      </c>
    </row>
    <row r="60" spans="1:47" ht="18" x14ac:dyDescent="0.3">
      <c r="A60" s="3">
        <v>9</v>
      </c>
      <c r="B60" s="3">
        <v>14.62</v>
      </c>
      <c r="C60" s="3">
        <v>21</v>
      </c>
      <c r="D60" s="4">
        <f t="shared" si="51"/>
        <v>6.3800000000000008</v>
      </c>
      <c r="E60" s="9">
        <f t="shared" si="52"/>
        <v>0.30380952380952386</v>
      </c>
      <c r="F60" s="11">
        <f t="shared" si="53"/>
        <v>-6.3800000000000008</v>
      </c>
      <c r="G60" s="3">
        <v>1.01</v>
      </c>
      <c r="I60" s="3">
        <v>9</v>
      </c>
      <c r="J60" s="3">
        <v>75.27</v>
      </c>
      <c r="K60" s="3">
        <v>21</v>
      </c>
      <c r="L60" s="4">
        <f t="shared" si="62"/>
        <v>54.269999999999996</v>
      </c>
      <c r="M60" s="9">
        <f t="shared" si="54"/>
        <v>2.5842857142857141</v>
      </c>
      <c r="N60" s="11">
        <f t="shared" si="55"/>
        <v>54.269999999999996</v>
      </c>
      <c r="O60" s="3">
        <v>2.0699999999999998</v>
      </c>
      <c r="Y60" s="3">
        <v>9</v>
      </c>
      <c r="Z60" s="3">
        <v>20.87</v>
      </c>
      <c r="AA60" s="3">
        <v>174</v>
      </c>
      <c r="AB60" s="4">
        <f t="shared" si="63"/>
        <v>153.13</v>
      </c>
      <c r="AC60" s="9">
        <f t="shared" si="56"/>
        <v>0.88005747126436784</v>
      </c>
      <c r="AD60" s="11">
        <f t="shared" si="57"/>
        <v>-153.13</v>
      </c>
      <c r="AE60" s="5">
        <v>1</v>
      </c>
      <c r="AG60" s="3">
        <v>9</v>
      </c>
      <c r="AH60" s="3">
        <v>149.62</v>
      </c>
      <c r="AI60" s="3">
        <v>19</v>
      </c>
      <c r="AJ60" s="4">
        <f t="shared" si="64"/>
        <v>130.62</v>
      </c>
      <c r="AK60" s="9">
        <f t="shared" si="58"/>
        <v>6.8747368421052633</v>
      </c>
      <c r="AL60" s="11">
        <f t="shared" si="59"/>
        <v>130.62</v>
      </c>
      <c r="AM60" s="5">
        <v>1.8</v>
      </c>
      <c r="AO60" s="3">
        <v>9</v>
      </c>
      <c r="AP60" s="3">
        <v>55.83</v>
      </c>
      <c r="AQ60" s="3">
        <v>20</v>
      </c>
      <c r="AR60" s="4">
        <f t="shared" si="65"/>
        <v>35.83</v>
      </c>
      <c r="AS60" s="9">
        <f t="shared" si="60"/>
        <v>1.7914999999999999</v>
      </c>
      <c r="AT60" s="11">
        <f t="shared" si="61"/>
        <v>35.83</v>
      </c>
      <c r="AU60" s="5">
        <v>1.85</v>
      </c>
    </row>
    <row r="61" spans="1:47" ht="18" x14ac:dyDescent="0.3">
      <c r="A61" s="3">
        <v>10</v>
      </c>
      <c r="B61" s="5">
        <v>15.11</v>
      </c>
      <c r="C61" s="3">
        <v>20</v>
      </c>
      <c r="D61" s="4">
        <f t="shared" si="51"/>
        <v>4.8900000000000006</v>
      </c>
      <c r="E61" s="9">
        <f t="shared" si="52"/>
        <v>0.24450000000000002</v>
      </c>
      <c r="F61" s="11">
        <f t="shared" si="53"/>
        <v>-4.8900000000000006</v>
      </c>
      <c r="G61" s="3">
        <v>1.03</v>
      </c>
      <c r="I61" s="3">
        <v>10</v>
      </c>
      <c r="J61" s="5">
        <v>61.81</v>
      </c>
      <c r="K61" s="3">
        <v>21</v>
      </c>
      <c r="L61" s="4">
        <f t="shared" si="62"/>
        <v>40.81</v>
      </c>
      <c r="M61" s="9">
        <f t="shared" si="54"/>
        <v>1.9433333333333334</v>
      </c>
      <c r="N61" s="11">
        <f t="shared" si="55"/>
        <v>40.81</v>
      </c>
      <c r="O61" s="3">
        <v>2.08</v>
      </c>
      <c r="Y61" s="3">
        <v>10</v>
      </c>
      <c r="Z61" s="5">
        <v>19.04</v>
      </c>
      <c r="AA61" s="3">
        <v>172</v>
      </c>
      <c r="AB61" s="4">
        <f t="shared" si="63"/>
        <v>152.96</v>
      </c>
      <c r="AC61" s="9">
        <f t="shared" si="56"/>
        <v>0.88930232558139544</v>
      </c>
      <c r="AD61" s="11">
        <f t="shared" si="57"/>
        <v>-152.96</v>
      </c>
      <c r="AE61" s="5">
        <v>1</v>
      </c>
      <c r="AG61" s="3">
        <v>10</v>
      </c>
      <c r="AH61" s="5">
        <v>136.44</v>
      </c>
      <c r="AI61" s="3">
        <v>20</v>
      </c>
      <c r="AJ61" s="4">
        <f t="shared" si="64"/>
        <v>116.44</v>
      </c>
      <c r="AK61" s="9">
        <f t="shared" si="58"/>
        <v>5.8220000000000001</v>
      </c>
      <c r="AL61" s="11">
        <f t="shared" si="59"/>
        <v>116.44</v>
      </c>
      <c r="AM61" s="5">
        <v>1.85</v>
      </c>
      <c r="AO61" s="3">
        <v>10</v>
      </c>
      <c r="AP61" s="5">
        <v>54.78</v>
      </c>
      <c r="AQ61" s="3">
        <v>20</v>
      </c>
      <c r="AR61" s="4">
        <f t="shared" si="65"/>
        <v>34.78</v>
      </c>
      <c r="AS61" s="9">
        <f t="shared" si="60"/>
        <v>1.7390000000000001</v>
      </c>
      <c r="AT61" s="11">
        <f t="shared" si="61"/>
        <v>34.78</v>
      </c>
      <c r="AU61" s="5">
        <v>1.87</v>
      </c>
    </row>
    <row r="62" spans="1:47" ht="18" x14ac:dyDescent="0.3">
      <c r="A62" s="1"/>
      <c r="B62" s="1"/>
      <c r="C62" s="1"/>
      <c r="D62" s="6" t="str">
        <f>ROUND(AVERAGE(D52:D61),3)&amp; "±" &amp;ROUND(_xlfn.STDEV.S(D52:D61),2)</f>
        <v>3.491±2.01</v>
      </c>
      <c r="E62" s="10" t="str">
        <f>TEXT(AVERAGE(E52:E61),"0.00%") &amp; "±" &amp; TEXT(_xlfn.STDEV.S(E52:E61),"0.00%")</f>
        <v>17.11%±9.68%</v>
      </c>
      <c r="F62" s="6" t="str">
        <f>ROUND(AVERAGE(F52:F61),3)&amp; "±" &amp;ROUND(_xlfn.STDEV.S(F52:F61),2)</f>
        <v>-2.349±3.38</v>
      </c>
      <c r="G62" s="6">
        <f>AVERAGE(G52:G61)</f>
        <v>1.012</v>
      </c>
      <c r="I62" s="1"/>
      <c r="J62" s="1"/>
      <c r="K62" s="1"/>
      <c r="L62" s="6" t="str">
        <f>ROUND(AVERAGE(L52:L61),3)&amp; "±" &amp;ROUND(_xlfn.STDEV.S(L52:L61),2)</f>
        <v>39.266±12.77</v>
      </c>
      <c r="M62" s="10" t="str">
        <f>TEXT(AVERAGE(M52:M61),"0.00%") &amp; "±" &amp; TEXT(_xlfn.STDEV.S(M52:M61),"0.00%")</f>
        <v>192.01%±63.71%</v>
      </c>
      <c r="N62" s="6" t="str">
        <f>ROUND(AVERAGE(N52:N61),3)&amp; "±" &amp;ROUND(_xlfn.STDEV.S(N52:N61),2)</f>
        <v>39.266±12.77</v>
      </c>
      <c r="O62" s="6">
        <f>AVERAGE(O52:O61)</f>
        <v>2.1759999999999997</v>
      </c>
      <c r="Y62" s="1"/>
      <c r="Z62" s="1"/>
      <c r="AA62" s="1"/>
      <c r="AB62" s="6" t="str">
        <f>ROUND(AVERAGE(AB52:AB61),3)&amp; "±" &amp;ROUND(_xlfn.STDEV.S(AB52:AB61),2)</f>
        <v>143.871±7.84</v>
      </c>
      <c r="AC62" s="10" t="str">
        <f>TEXT(AVERAGE(AC52:AC61),"0.00%") &amp; "±" &amp; TEXT(_xlfn.STDEV.S(AC52:AC61),"0.00%")</f>
        <v>87.18%±0.92%</v>
      </c>
      <c r="AD62" s="6" t="str">
        <f>ROUND(AVERAGE(AD52:AD61),3)&amp; "±" &amp;ROUND(_xlfn.STDEV.S(AD52:AD61),2)</f>
        <v>-143.871±7.84</v>
      </c>
      <c r="AE62" s="6">
        <f>AVERAGE(AE52:AE61)</f>
        <v>1.006</v>
      </c>
      <c r="AG62" s="1"/>
      <c r="AH62" s="1"/>
      <c r="AI62" s="1"/>
      <c r="AJ62" s="6" t="str">
        <f>ROUND(AVERAGE(AJ52:AJ61),3)&amp; "±" &amp;ROUND(_xlfn.STDEV.S(AJ52:AJ61),2)</f>
        <v>135.414±24.59</v>
      </c>
      <c r="AK62" s="10" t="str">
        <f>TEXT(AVERAGE(AK52:AK61),"0.00%") &amp; "±" &amp; TEXT(_xlfn.STDEV.S(AK52:AK61),"0.00%")</f>
        <v>684.74%±128.04%</v>
      </c>
      <c r="AL62" s="6" t="str">
        <f>ROUND(AVERAGE(AL52:AL61),3)&amp; "±" &amp;ROUND(_xlfn.STDEV.S(AL52:AL61),2)</f>
        <v>135.414±24.59</v>
      </c>
      <c r="AM62" s="6">
        <f>AVERAGE(AM52:AM61)</f>
        <v>1.764</v>
      </c>
      <c r="AO62" s="1"/>
      <c r="AP62" s="1"/>
      <c r="AQ62" s="1"/>
      <c r="AR62" s="6" t="str">
        <f>ROUND(AVERAGE(AR52:AR61),3)&amp; "±" &amp;ROUND(_xlfn.STDEV.S(AR52:AR61),2)</f>
        <v>36.05±8.17</v>
      </c>
      <c r="AS62" s="10" t="str">
        <f>TEXT(AVERAGE(AS52:AS61),"0.00%") &amp; "±" &amp; TEXT(_xlfn.STDEV.S(AS52:AS61),"0.00%")</f>
        <v>176.67%±39.78%</v>
      </c>
      <c r="AT62" s="6" t="str">
        <f>ROUND(AVERAGE(AT52:AT61),3)&amp; "±" &amp;ROUND(_xlfn.STDEV.S(AT52:AT61),2)</f>
        <v>36.05±8.17</v>
      </c>
      <c r="AU62" s="6">
        <f>AVERAGE(AU52:AU61)</f>
        <v>1.802</v>
      </c>
    </row>
    <row r="63" spans="1:47" ht="18" x14ac:dyDescent="0.3">
      <c r="A63" s="1"/>
      <c r="B63" s="1"/>
      <c r="C63" s="1"/>
      <c r="D63" s="1"/>
      <c r="E63" s="1"/>
      <c r="F63" s="1"/>
      <c r="G63" s="1"/>
      <c r="I63" s="1"/>
      <c r="J63" s="1"/>
      <c r="K63" s="1"/>
      <c r="L63" s="1"/>
      <c r="M63" s="1"/>
      <c r="N63" s="1"/>
      <c r="O63" s="1"/>
    </row>
    <row r="64" spans="1:47" ht="18" x14ac:dyDescent="0.3">
      <c r="A64" s="30" t="s">
        <v>8</v>
      </c>
      <c r="B64" s="30"/>
      <c r="C64" s="30"/>
      <c r="D64" s="30"/>
      <c r="E64" s="30"/>
      <c r="F64" s="30"/>
      <c r="G64" s="30"/>
      <c r="I64" s="24" t="s">
        <v>14</v>
      </c>
      <c r="J64" s="24"/>
      <c r="K64" s="24"/>
      <c r="L64" s="24"/>
      <c r="M64" s="24"/>
      <c r="N64" s="24"/>
      <c r="O64" s="24"/>
      <c r="Y64" s="16" t="s">
        <v>25</v>
      </c>
      <c r="Z64" s="16"/>
      <c r="AA64" s="16"/>
      <c r="AB64" s="16"/>
      <c r="AC64" s="16"/>
      <c r="AD64" s="16"/>
      <c r="AE64" s="16"/>
      <c r="AG64" s="16" t="s">
        <v>33</v>
      </c>
      <c r="AH64" s="16"/>
      <c r="AI64" s="16"/>
      <c r="AJ64" s="16"/>
      <c r="AK64" s="16"/>
      <c r="AL64" s="16"/>
      <c r="AM64" s="16"/>
    </row>
    <row r="65" spans="1:39" ht="18" x14ac:dyDescent="0.3">
      <c r="A65" s="2" t="s">
        <v>2</v>
      </c>
      <c r="B65" s="2" t="s">
        <v>3</v>
      </c>
      <c r="C65" s="2" t="s">
        <v>4</v>
      </c>
      <c r="D65" s="2" t="s">
        <v>5</v>
      </c>
      <c r="E65" s="2" t="s">
        <v>19</v>
      </c>
      <c r="F65" s="2" t="s">
        <v>20</v>
      </c>
      <c r="G65" s="2" t="s">
        <v>6</v>
      </c>
      <c r="I65" s="2" t="s">
        <v>2</v>
      </c>
      <c r="J65" s="2" t="s">
        <v>3</v>
      </c>
      <c r="K65" s="2" t="s">
        <v>4</v>
      </c>
      <c r="L65" s="2" t="s">
        <v>5</v>
      </c>
      <c r="M65" s="2" t="s">
        <v>19</v>
      </c>
      <c r="N65" s="2" t="s">
        <v>20</v>
      </c>
      <c r="O65" s="2" t="s">
        <v>6</v>
      </c>
      <c r="Y65" s="2" t="s">
        <v>2</v>
      </c>
      <c r="Z65" s="2" t="s">
        <v>3</v>
      </c>
      <c r="AA65" s="2" t="s">
        <v>4</v>
      </c>
      <c r="AB65" s="2" t="s">
        <v>5</v>
      </c>
      <c r="AC65" s="2" t="s">
        <v>19</v>
      </c>
      <c r="AD65" s="2" t="s">
        <v>20</v>
      </c>
      <c r="AE65" s="2" t="s">
        <v>6</v>
      </c>
      <c r="AG65" s="2" t="s">
        <v>2</v>
      </c>
      <c r="AH65" s="2" t="s">
        <v>3</v>
      </c>
      <c r="AI65" s="2" t="s">
        <v>4</v>
      </c>
      <c r="AJ65" s="2" t="s">
        <v>5</v>
      </c>
      <c r="AK65" s="2" t="s">
        <v>19</v>
      </c>
      <c r="AL65" s="2" t="s">
        <v>20</v>
      </c>
      <c r="AM65" s="2" t="s">
        <v>6</v>
      </c>
    </row>
    <row r="66" spans="1:39" ht="18" x14ac:dyDescent="0.3">
      <c r="A66" s="3">
        <v>1</v>
      </c>
      <c r="B66" s="3">
        <v>13.8</v>
      </c>
      <c r="C66" s="3">
        <v>21</v>
      </c>
      <c r="D66" s="4">
        <f t="shared" ref="D66:D75" si="66">ABS(B66-C66)</f>
        <v>7.1999999999999993</v>
      </c>
      <c r="E66" s="9">
        <f t="shared" ref="E66:E75" si="67">ABS(B66-C66)/C66</f>
        <v>0.3428571428571428</v>
      </c>
      <c r="F66" s="11">
        <f t="shared" ref="F66:F75" si="68">B66-C66</f>
        <v>-7.1999999999999993</v>
      </c>
      <c r="G66" s="3">
        <v>1.02</v>
      </c>
      <c r="I66" s="3">
        <v>1</v>
      </c>
      <c r="J66" s="3">
        <v>46.24</v>
      </c>
      <c r="K66" s="3">
        <v>21</v>
      </c>
      <c r="L66" s="4">
        <f>ABS(J66-K66)</f>
        <v>25.240000000000002</v>
      </c>
      <c r="M66" s="9">
        <f t="shared" ref="M66:M75" si="69">ABS(J66-K66)/K66</f>
        <v>1.201904761904762</v>
      </c>
      <c r="N66" s="11">
        <f t="shared" ref="N66:N75" si="70">J66-K66</f>
        <v>25.240000000000002</v>
      </c>
      <c r="O66" s="3">
        <v>2.02</v>
      </c>
      <c r="Y66" s="3">
        <v>1</v>
      </c>
      <c r="Z66" s="3">
        <v>16.940000000000001</v>
      </c>
      <c r="AA66" s="8">
        <v>157</v>
      </c>
      <c r="AB66" s="4">
        <f>ABS(Z66-AA66)</f>
        <v>140.06</v>
      </c>
      <c r="AC66" s="9">
        <f t="shared" ref="AC66:AC75" si="71">ABS(Z66-AA66)/AA66</f>
        <v>0.89210191082802548</v>
      </c>
      <c r="AD66" s="11">
        <f t="shared" ref="AD66:AD75" si="72">Z66-AA66</f>
        <v>-140.06</v>
      </c>
      <c r="AE66" s="5">
        <v>1.02</v>
      </c>
      <c r="AG66" s="3">
        <v>1</v>
      </c>
      <c r="AH66" s="3">
        <v>166.98</v>
      </c>
      <c r="AI66" s="3">
        <v>20</v>
      </c>
      <c r="AJ66" s="4">
        <f>ABS(AH66-AI66)</f>
        <v>146.97999999999999</v>
      </c>
      <c r="AK66" s="9">
        <f t="shared" ref="AK66:AK75" si="73">ABS(AH66-AI66)/AI66</f>
        <v>7.3489999999999993</v>
      </c>
      <c r="AL66" s="11">
        <f t="shared" ref="AL66:AL75" si="74">AH66-AI66</f>
        <v>146.97999999999999</v>
      </c>
      <c r="AM66" s="5">
        <v>1.1000000000000001</v>
      </c>
    </row>
    <row r="67" spans="1:39" ht="18" x14ac:dyDescent="0.3">
      <c r="A67" s="3">
        <v>2</v>
      </c>
      <c r="B67" s="3">
        <v>17.36</v>
      </c>
      <c r="C67" s="3">
        <v>19</v>
      </c>
      <c r="D67" s="4">
        <f t="shared" si="66"/>
        <v>1.6400000000000006</v>
      </c>
      <c r="E67" s="9">
        <f t="shared" si="67"/>
        <v>8.6315789473684235E-2</v>
      </c>
      <c r="F67" s="11">
        <f t="shared" si="68"/>
        <v>-1.6400000000000006</v>
      </c>
      <c r="G67" s="3">
        <v>1.02</v>
      </c>
      <c r="I67" s="3">
        <v>2</v>
      </c>
      <c r="J67" s="3">
        <v>65.069999999999993</v>
      </c>
      <c r="K67" s="3">
        <v>19</v>
      </c>
      <c r="L67" s="4">
        <f t="shared" ref="L67:L75" si="75">ABS(J67-K67)</f>
        <v>46.069999999999993</v>
      </c>
      <c r="M67" s="9">
        <f t="shared" si="69"/>
        <v>2.4247368421052626</v>
      </c>
      <c r="N67" s="11">
        <f t="shared" si="70"/>
        <v>46.069999999999993</v>
      </c>
      <c r="O67" s="3">
        <v>2.21</v>
      </c>
      <c r="Y67" s="3">
        <v>2</v>
      </c>
      <c r="Z67" s="3">
        <v>19.57</v>
      </c>
      <c r="AA67" s="8">
        <v>161</v>
      </c>
      <c r="AB67" s="4">
        <f t="shared" ref="AB67:AB75" si="76">ABS(Z67-AA67)</f>
        <v>141.43</v>
      </c>
      <c r="AC67" s="9">
        <f t="shared" si="71"/>
        <v>0.87844720496894413</v>
      </c>
      <c r="AD67" s="11">
        <f t="shared" si="72"/>
        <v>-141.43</v>
      </c>
      <c r="AE67" s="5">
        <v>1.02</v>
      </c>
      <c r="AG67" s="3">
        <v>2</v>
      </c>
      <c r="AH67" s="3">
        <v>141.83000000000001</v>
      </c>
      <c r="AI67" s="3">
        <v>21</v>
      </c>
      <c r="AJ67" s="4">
        <f t="shared" ref="AJ67:AJ75" si="77">ABS(AH67-AI67)</f>
        <v>120.83000000000001</v>
      </c>
      <c r="AK67" s="9">
        <f t="shared" si="73"/>
        <v>5.7538095238095242</v>
      </c>
      <c r="AL67" s="11">
        <f t="shared" si="74"/>
        <v>120.83000000000001</v>
      </c>
      <c r="AM67" s="5">
        <v>1.23</v>
      </c>
    </row>
    <row r="68" spans="1:39" ht="18" x14ac:dyDescent="0.3">
      <c r="A68" s="3">
        <v>3</v>
      </c>
      <c r="B68" s="3">
        <v>18.190000000000001</v>
      </c>
      <c r="C68" s="3">
        <v>21</v>
      </c>
      <c r="D68" s="4">
        <f t="shared" si="66"/>
        <v>2.8099999999999987</v>
      </c>
      <c r="E68" s="9">
        <f t="shared" si="67"/>
        <v>0.13380952380952374</v>
      </c>
      <c r="F68" s="11">
        <f t="shared" si="68"/>
        <v>-2.8099999999999987</v>
      </c>
      <c r="G68" s="3">
        <v>1.01</v>
      </c>
      <c r="I68" s="3">
        <v>3</v>
      </c>
      <c r="J68" s="3">
        <v>69.25</v>
      </c>
      <c r="K68" s="3">
        <v>21</v>
      </c>
      <c r="L68" s="4">
        <f t="shared" si="75"/>
        <v>48.25</v>
      </c>
      <c r="M68" s="9">
        <f t="shared" si="69"/>
        <v>2.2976190476190474</v>
      </c>
      <c r="N68" s="11">
        <f t="shared" si="70"/>
        <v>48.25</v>
      </c>
      <c r="O68" s="3">
        <v>1.99</v>
      </c>
      <c r="Y68" s="3">
        <v>3</v>
      </c>
      <c r="Z68" s="3">
        <v>20.84</v>
      </c>
      <c r="AA68" s="8">
        <v>154</v>
      </c>
      <c r="AB68" s="4">
        <f t="shared" si="76"/>
        <v>133.16</v>
      </c>
      <c r="AC68" s="9">
        <f t="shared" si="71"/>
        <v>0.86467532467532471</v>
      </c>
      <c r="AD68" s="11">
        <f t="shared" si="72"/>
        <v>-133.16</v>
      </c>
      <c r="AE68" s="5">
        <v>1.01</v>
      </c>
      <c r="AG68" s="3">
        <v>3</v>
      </c>
      <c r="AH68" s="3">
        <v>154.86000000000001</v>
      </c>
      <c r="AI68" s="3">
        <v>21</v>
      </c>
      <c r="AJ68" s="4">
        <f t="shared" si="77"/>
        <v>133.86000000000001</v>
      </c>
      <c r="AK68" s="9">
        <f t="shared" si="73"/>
        <v>6.3742857142857146</v>
      </c>
      <c r="AL68" s="11">
        <f t="shared" si="74"/>
        <v>133.86000000000001</v>
      </c>
      <c r="AM68" s="5">
        <v>1.1299999999999999</v>
      </c>
    </row>
    <row r="69" spans="1:39" ht="18" x14ac:dyDescent="0.3">
      <c r="A69" s="3">
        <v>4</v>
      </c>
      <c r="B69" s="3">
        <v>17.079999999999998</v>
      </c>
      <c r="C69" s="3">
        <v>20</v>
      </c>
      <c r="D69" s="4">
        <f t="shared" si="66"/>
        <v>2.9200000000000017</v>
      </c>
      <c r="E69" s="9">
        <f t="shared" si="67"/>
        <v>0.14600000000000007</v>
      </c>
      <c r="F69" s="11">
        <f t="shared" si="68"/>
        <v>-2.9200000000000017</v>
      </c>
      <c r="G69" s="3">
        <v>1.01</v>
      </c>
      <c r="I69" s="3">
        <v>4</v>
      </c>
      <c r="J69" s="3">
        <v>63.47</v>
      </c>
      <c r="K69" s="3">
        <v>20</v>
      </c>
      <c r="L69" s="4">
        <f t="shared" si="75"/>
        <v>43.47</v>
      </c>
      <c r="M69" s="9">
        <f t="shared" si="69"/>
        <v>2.1734999999999998</v>
      </c>
      <c r="N69" s="11">
        <f t="shared" si="70"/>
        <v>43.47</v>
      </c>
      <c r="O69" s="3">
        <v>2.38</v>
      </c>
      <c r="Y69" s="3">
        <v>4</v>
      </c>
      <c r="Z69" s="3">
        <v>20.81</v>
      </c>
      <c r="AA69" s="8">
        <v>154</v>
      </c>
      <c r="AB69" s="4">
        <f t="shared" si="76"/>
        <v>133.19</v>
      </c>
      <c r="AC69" s="9">
        <f t="shared" si="71"/>
        <v>0.8648701298701299</v>
      </c>
      <c r="AD69" s="11">
        <f t="shared" si="72"/>
        <v>-133.19</v>
      </c>
      <c r="AE69" s="5">
        <v>1.01</v>
      </c>
      <c r="AG69" s="3">
        <v>4</v>
      </c>
      <c r="AH69" s="3">
        <v>153.05000000000001</v>
      </c>
      <c r="AI69" s="3">
        <v>19</v>
      </c>
      <c r="AJ69" s="4">
        <f t="shared" si="77"/>
        <v>134.05000000000001</v>
      </c>
      <c r="AK69" s="9">
        <f t="shared" si="73"/>
        <v>7.0552631578947373</v>
      </c>
      <c r="AL69" s="11">
        <f t="shared" si="74"/>
        <v>134.05000000000001</v>
      </c>
      <c r="AM69" s="5">
        <v>1.17</v>
      </c>
    </row>
    <row r="70" spans="1:39" ht="18" x14ac:dyDescent="0.3">
      <c r="A70" s="3">
        <v>5</v>
      </c>
      <c r="B70" s="3">
        <v>12.85</v>
      </c>
      <c r="C70" s="3">
        <v>20</v>
      </c>
      <c r="D70" s="4">
        <f t="shared" si="66"/>
        <v>7.15</v>
      </c>
      <c r="E70" s="9">
        <f t="shared" si="67"/>
        <v>0.35750000000000004</v>
      </c>
      <c r="F70" s="11">
        <f t="shared" si="68"/>
        <v>-7.15</v>
      </c>
      <c r="G70" s="3">
        <v>1.02</v>
      </c>
      <c r="I70" s="3">
        <v>5</v>
      </c>
      <c r="J70" s="3">
        <v>52.16</v>
      </c>
      <c r="K70" s="3">
        <v>20</v>
      </c>
      <c r="L70" s="4">
        <f t="shared" si="75"/>
        <v>32.159999999999997</v>
      </c>
      <c r="M70" s="9">
        <f t="shared" si="69"/>
        <v>1.6079999999999999</v>
      </c>
      <c r="N70" s="11">
        <f t="shared" si="70"/>
        <v>32.159999999999997</v>
      </c>
      <c r="O70" s="3">
        <v>2.09</v>
      </c>
      <c r="Y70" s="3">
        <v>5</v>
      </c>
      <c r="Z70" s="3">
        <v>21.06</v>
      </c>
      <c r="AA70" s="8">
        <v>160</v>
      </c>
      <c r="AB70" s="4">
        <f t="shared" si="76"/>
        <v>138.94</v>
      </c>
      <c r="AC70" s="9">
        <f t="shared" si="71"/>
        <v>0.86837500000000001</v>
      </c>
      <c r="AD70" s="11">
        <f t="shared" si="72"/>
        <v>-138.94</v>
      </c>
      <c r="AE70" s="5">
        <v>1.01</v>
      </c>
      <c r="AG70" s="3">
        <v>5</v>
      </c>
      <c r="AH70" s="3">
        <v>136.63999999999999</v>
      </c>
      <c r="AI70" s="3">
        <v>20</v>
      </c>
      <c r="AJ70" s="4">
        <f t="shared" si="77"/>
        <v>116.63999999999999</v>
      </c>
      <c r="AK70" s="9">
        <f t="shared" si="73"/>
        <v>5.831999999999999</v>
      </c>
      <c r="AL70" s="11">
        <f t="shared" si="74"/>
        <v>116.63999999999999</v>
      </c>
      <c r="AM70" s="5">
        <v>1.1000000000000001</v>
      </c>
    </row>
    <row r="71" spans="1:39" ht="18" x14ac:dyDescent="0.3">
      <c r="A71" s="3">
        <v>6</v>
      </c>
      <c r="B71" s="3">
        <v>13.23</v>
      </c>
      <c r="C71" s="3">
        <v>20</v>
      </c>
      <c r="D71" s="4">
        <f t="shared" si="66"/>
        <v>6.77</v>
      </c>
      <c r="E71" s="9">
        <f t="shared" si="67"/>
        <v>0.33849999999999997</v>
      </c>
      <c r="F71" s="11">
        <f t="shared" si="68"/>
        <v>-6.77</v>
      </c>
      <c r="G71" s="3">
        <v>1.01</v>
      </c>
      <c r="I71" s="3">
        <v>6</v>
      </c>
      <c r="J71" s="5">
        <v>38.299999999999997</v>
      </c>
      <c r="K71" s="3">
        <v>20</v>
      </c>
      <c r="L71" s="4">
        <f t="shared" si="75"/>
        <v>18.299999999999997</v>
      </c>
      <c r="M71" s="9">
        <f t="shared" si="69"/>
        <v>0.91499999999999981</v>
      </c>
      <c r="N71" s="11">
        <f t="shared" si="70"/>
        <v>18.299999999999997</v>
      </c>
      <c r="O71" s="3">
        <v>2.4900000000000002</v>
      </c>
      <c r="Y71" s="3">
        <v>6</v>
      </c>
      <c r="Z71" s="3">
        <v>21.22</v>
      </c>
      <c r="AA71" s="8">
        <v>156</v>
      </c>
      <c r="AB71" s="4">
        <f t="shared" si="76"/>
        <v>134.78</v>
      </c>
      <c r="AC71" s="9">
        <f t="shared" si="71"/>
        <v>0.86397435897435904</v>
      </c>
      <c r="AD71" s="11">
        <f t="shared" si="72"/>
        <v>-134.78</v>
      </c>
      <c r="AE71" s="5">
        <v>1.02</v>
      </c>
      <c r="AG71" s="3">
        <v>6</v>
      </c>
      <c r="AH71" s="3">
        <v>112.03</v>
      </c>
      <c r="AI71" s="3">
        <v>20</v>
      </c>
      <c r="AJ71" s="4">
        <f t="shared" si="77"/>
        <v>92.03</v>
      </c>
      <c r="AK71" s="9">
        <f t="shared" si="73"/>
        <v>4.6014999999999997</v>
      </c>
      <c r="AL71" s="11">
        <f t="shared" si="74"/>
        <v>92.03</v>
      </c>
      <c r="AM71" s="5">
        <v>1.1599999999999999</v>
      </c>
    </row>
    <row r="72" spans="1:39" ht="18" x14ac:dyDescent="0.3">
      <c r="A72" s="3">
        <v>7</v>
      </c>
      <c r="B72" s="3">
        <v>16.78</v>
      </c>
      <c r="C72" s="3">
        <v>20</v>
      </c>
      <c r="D72" s="4">
        <f t="shared" si="66"/>
        <v>3.2199999999999989</v>
      </c>
      <c r="E72" s="9">
        <f t="shared" si="67"/>
        <v>0.16099999999999995</v>
      </c>
      <c r="F72" s="11">
        <f t="shared" si="68"/>
        <v>-3.2199999999999989</v>
      </c>
      <c r="G72" s="3">
        <v>1.01</v>
      </c>
      <c r="I72" s="3">
        <v>7</v>
      </c>
      <c r="J72" s="3">
        <v>49.02</v>
      </c>
      <c r="K72" s="3">
        <v>20</v>
      </c>
      <c r="L72" s="4">
        <f t="shared" si="75"/>
        <v>29.020000000000003</v>
      </c>
      <c r="M72" s="9">
        <f t="shared" si="69"/>
        <v>1.4510000000000001</v>
      </c>
      <c r="N72" s="11">
        <f t="shared" si="70"/>
        <v>29.020000000000003</v>
      </c>
      <c r="O72" s="3">
        <v>2.78</v>
      </c>
      <c r="Y72" s="3">
        <v>7</v>
      </c>
      <c r="Z72" s="3">
        <v>20.95</v>
      </c>
      <c r="AA72" s="8">
        <v>153</v>
      </c>
      <c r="AB72" s="4">
        <f t="shared" si="76"/>
        <v>132.05000000000001</v>
      </c>
      <c r="AC72" s="9">
        <f t="shared" si="71"/>
        <v>0.86307189542483664</v>
      </c>
      <c r="AD72" s="11">
        <f t="shared" si="72"/>
        <v>-132.05000000000001</v>
      </c>
      <c r="AE72" s="5">
        <v>1.01</v>
      </c>
      <c r="AG72" s="3">
        <v>7</v>
      </c>
      <c r="AH72" s="3">
        <v>115.03</v>
      </c>
      <c r="AI72" s="3">
        <v>21</v>
      </c>
      <c r="AJ72" s="4">
        <f t="shared" si="77"/>
        <v>94.03</v>
      </c>
      <c r="AK72" s="9">
        <f t="shared" si="73"/>
        <v>4.4776190476190481</v>
      </c>
      <c r="AL72" s="11">
        <f t="shared" si="74"/>
        <v>94.03</v>
      </c>
      <c r="AM72" s="5">
        <v>1.29</v>
      </c>
    </row>
    <row r="73" spans="1:39" ht="18" x14ac:dyDescent="0.3">
      <c r="A73" s="3">
        <v>8</v>
      </c>
      <c r="B73" s="3">
        <v>9.75</v>
      </c>
      <c r="C73" s="3">
        <v>21</v>
      </c>
      <c r="D73" s="4">
        <f t="shared" si="66"/>
        <v>11.25</v>
      </c>
      <c r="E73" s="9">
        <f t="shared" si="67"/>
        <v>0.5357142857142857</v>
      </c>
      <c r="F73" s="11">
        <f t="shared" si="68"/>
        <v>-11.25</v>
      </c>
      <c r="G73" s="3">
        <v>1.02</v>
      </c>
      <c r="I73" s="3">
        <v>8</v>
      </c>
      <c r="J73" s="5">
        <v>39.39</v>
      </c>
      <c r="K73" s="3">
        <v>21</v>
      </c>
      <c r="L73" s="4">
        <f t="shared" si="75"/>
        <v>18.39</v>
      </c>
      <c r="M73" s="9">
        <f t="shared" si="69"/>
        <v>0.87571428571428578</v>
      </c>
      <c r="N73" s="11">
        <f t="shared" si="70"/>
        <v>18.39</v>
      </c>
      <c r="O73" s="3">
        <v>2.13</v>
      </c>
      <c r="Y73" s="3">
        <v>8</v>
      </c>
      <c r="Z73" s="3">
        <v>17.46</v>
      </c>
      <c r="AA73" s="8">
        <v>160</v>
      </c>
      <c r="AB73" s="4">
        <f t="shared" si="76"/>
        <v>142.54</v>
      </c>
      <c r="AC73" s="9">
        <f t="shared" si="71"/>
        <v>0.89087499999999997</v>
      </c>
      <c r="AD73" s="11">
        <f t="shared" si="72"/>
        <v>-142.54</v>
      </c>
      <c r="AE73" s="5">
        <v>1.01</v>
      </c>
      <c r="AG73" s="3">
        <v>8</v>
      </c>
      <c r="AH73" s="3">
        <v>122.97</v>
      </c>
      <c r="AI73" s="3">
        <v>21</v>
      </c>
      <c r="AJ73" s="4">
        <f t="shared" si="77"/>
        <v>101.97</v>
      </c>
      <c r="AK73" s="9">
        <f t="shared" si="73"/>
        <v>4.8557142857142859</v>
      </c>
      <c r="AL73" s="11">
        <f t="shared" si="74"/>
        <v>101.97</v>
      </c>
      <c r="AM73" s="5">
        <v>1.1499999999999999</v>
      </c>
    </row>
    <row r="74" spans="1:39" ht="18" x14ac:dyDescent="0.3">
      <c r="A74" s="3">
        <v>9</v>
      </c>
      <c r="B74" s="3">
        <v>11.63</v>
      </c>
      <c r="C74" s="3">
        <v>21</v>
      </c>
      <c r="D74" s="4">
        <f t="shared" si="66"/>
        <v>9.3699999999999992</v>
      </c>
      <c r="E74" s="9">
        <f t="shared" si="67"/>
        <v>0.44619047619047614</v>
      </c>
      <c r="F74" s="11">
        <f t="shared" si="68"/>
        <v>-9.3699999999999992</v>
      </c>
      <c r="G74" s="3">
        <v>1.02</v>
      </c>
      <c r="I74" s="3">
        <v>9</v>
      </c>
      <c r="J74" s="3">
        <v>39.369999999999997</v>
      </c>
      <c r="K74" s="3">
        <v>21</v>
      </c>
      <c r="L74" s="4">
        <f t="shared" si="75"/>
        <v>18.369999999999997</v>
      </c>
      <c r="M74" s="9">
        <f t="shared" si="69"/>
        <v>0.87476190476190463</v>
      </c>
      <c r="N74" s="11">
        <f t="shared" si="70"/>
        <v>18.369999999999997</v>
      </c>
      <c r="O74" s="3">
        <v>2.23</v>
      </c>
      <c r="Y74" s="3">
        <v>9</v>
      </c>
      <c r="Z74" s="3">
        <v>22.92</v>
      </c>
      <c r="AA74" s="8">
        <v>166</v>
      </c>
      <c r="AB74" s="4">
        <f t="shared" si="76"/>
        <v>143.07999999999998</v>
      </c>
      <c r="AC74" s="9">
        <f t="shared" si="71"/>
        <v>0.86192771084337338</v>
      </c>
      <c r="AD74" s="11">
        <f t="shared" si="72"/>
        <v>-143.07999999999998</v>
      </c>
      <c r="AE74" s="5">
        <v>1.01</v>
      </c>
      <c r="AG74" s="3">
        <v>9</v>
      </c>
      <c r="AH74" s="3">
        <v>133.99</v>
      </c>
      <c r="AI74" s="3">
        <v>21</v>
      </c>
      <c r="AJ74" s="4">
        <f t="shared" si="77"/>
        <v>112.99000000000001</v>
      </c>
      <c r="AK74" s="9">
        <f t="shared" si="73"/>
        <v>5.3804761904761911</v>
      </c>
      <c r="AL74" s="11">
        <f t="shared" si="74"/>
        <v>112.99000000000001</v>
      </c>
      <c r="AM74" s="5">
        <v>1.33</v>
      </c>
    </row>
    <row r="75" spans="1:39" ht="18" x14ac:dyDescent="0.3">
      <c r="A75" s="3">
        <v>10</v>
      </c>
      <c r="B75" s="5">
        <v>15.19</v>
      </c>
      <c r="C75" s="3">
        <v>20</v>
      </c>
      <c r="D75" s="4">
        <f t="shared" si="66"/>
        <v>4.8100000000000005</v>
      </c>
      <c r="E75" s="9">
        <f t="shared" si="67"/>
        <v>0.24050000000000002</v>
      </c>
      <c r="F75" s="11">
        <f t="shared" si="68"/>
        <v>-4.8100000000000005</v>
      </c>
      <c r="G75" s="3">
        <v>1.01</v>
      </c>
      <c r="I75" s="3">
        <v>10</v>
      </c>
      <c r="J75" s="5">
        <v>46.68</v>
      </c>
      <c r="K75" s="3">
        <v>20</v>
      </c>
      <c r="L75" s="4">
        <f t="shared" si="75"/>
        <v>26.68</v>
      </c>
      <c r="M75" s="9">
        <f t="shared" si="69"/>
        <v>1.3340000000000001</v>
      </c>
      <c r="N75" s="11">
        <f t="shared" si="70"/>
        <v>26.68</v>
      </c>
      <c r="O75" s="3">
        <v>2.19</v>
      </c>
      <c r="Y75" s="3">
        <v>10</v>
      </c>
      <c r="Z75" s="5">
        <v>22.51</v>
      </c>
      <c r="AA75" s="8">
        <v>156</v>
      </c>
      <c r="AB75" s="4">
        <f t="shared" si="76"/>
        <v>133.49</v>
      </c>
      <c r="AC75" s="9">
        <f t="shared" si="71"/>
        <v>0.85570512820512823</v>
      </c>
      <c r="AD75" s="11">
        <f t="shared" si="72"/>
        <v>-133.49</v>
      </c>
      <c r="AE75" s="5">
        <v>1.01</v>
      </c>
      <c r="AG75" s="3">
        <v>10</v>
      </c>
      <c r="AH75" s="5">
        <v>118.18</v>
      </c>
      <c r="AI75" s="3">
        <v>21</v>
      </c>
      <c r="AJ75" s="4">
        <f t="shared" si="77"/>
        <v>97.18</v>
      </c>
      <c r="AK75" s="9">
        <f t="shared" si="73"/>
        <v>4.6276190476190475</v>
      </c>
      <c r="AL75" s="11">
        <f t="shared" si="74"/>
        <v>97.18</v>
      </c>
      <c r="AM75" s="5">
        <v>1.36</v>
      </c>
    </row>
    <row r="76" spans="1:39" ht="18" x14ac:dyDescent="0.3">
      <c r="A76" s="1"/>
      <c r="B76" s="1"/>
      <c r="C76" s="1"/>
      <c r="D76" s="6" t="str">
        <f>ROUND(AVERAGE(D66:D75),3)&amp; "±" &amp;ROUND(_xlfn.STDEV.S(D66:D75),2)</f>
        <v>5.714±3.15</v>
      </c>
      <c r="E76" s="10" t="str">
        <f>TEXT(AVERAGE(E66:E75),"0.00%") &amp; "±" &amp; TEXT(_xlfn.STDEV.S(E66:E75),"0.00%")</f>
        <v>27.88%±14.87%</v>
      </c>
      <c r="F76" s="6" t="str">
        <f>ROUND(AVERAGE(F66:F75),3)&amp; "±" &amp;ROUND(_xlfn.STDEV.S(F66:F75),2)</f>
        <v>-5.714±3.15</v>
      </c>
      <c r="G76" s="6">
        <f>AVERAGE(G66:G75)</f>
        <v>1.0149999999999999</v>
      </c>
      <c r="I76" s="1"/>
      <c r="J76" s="1"/>
      <c r="K76" s="1"/>
      <c r="L76" s="6" t="str">
        <f>ROUND(AVERAGE(L66:L75),3)&amp; "±" &amp;ROUND(_xlfn.STDEV.S(L66:L75),2)</f>
        <v>30.595±11.62</v>
      </c>
      <c r="M76" s="10" t="str">
        <f>TEXT(AVERAGE(M66:M75),"0.00%") &amp; "±" &amp; TEXT(_xlfn.STDEV.S(M66:M75),"0.00%")</f>
        <v>151.56%±59.59%</v>
      </c>
      <c r="N76" s="6" t="str">
        <f>ROUND(AVERAGE(N66:N75),3)&amp; "±" &amp;ROUND(_xlfn.STDEV.S(N66:N75),2)</f>
        <v>30.595±11.62</v>
      </c>
      <c r="O76" s="6">
        <f>AVERAGE(O66:O75)</f>
        <v>2.2510000000000003</v>
      </c>
      <c r="Y76" s="1"/>
      <c r="Z76" s="1"/>
      <c r="AA76" s="1"/>
      <c r="AB76" s="6" t="str">
        <f>ROUND(AVERAGE(AB66:AB75),3)&amp; "±" &amp;ROUND(_xlfn.STDEV.S(AB66:AB75),2)</f>
        <v>137.272±4.35</v>
      </c>
      <c r="AC76" s="10" t="str">
        <f>TEXT(AVERAGE(AC66:AC75),"0.00%") &amp; "±" &amp; TEXT(_xlfn.STDEV.S(AC66:AC75),"0.00%")</f>
        <v>87.04%±1.25%</v>
      </c>
      <c r="AD76" s="6" t="str">
        <f>ROUND(AVERAGE(AD66:AD75),3)&amp; "±" &amp;ROUND(_xlfn.STDEV.S(AD66:AD75),2)</f>
        <v>-137.272±4.35</v>
      </c>
      <c r="AE76" s="6">
        <f>AVERAGE(AE66:AE75)</f>
        <v>1.0129999999999999</v>
      </c>
      <c r="AG76" s="1"/>
      <c r="AH76" s="1"/>
      <c r="AI76" s="1"/>
      <c r="AJ76" s="6" t="str">
        <f>ROUND(AVERAGE(AJ66:AJ75),3)&amp; "±" &amp;ROUND(_xlfn.STDEV.S(AJ66:AJ75),2)</f>
        <v>115.056±18.96</v>
      </c>
      <c r="AK76" s="10" t="str">
        <f>TEXT(AVERAGE(AK66:AK75),"0.00%") &amp; "±" &amp; TEXT(_xlfn.STDEV.S(AK66:AK75),"0.00%")</f>
        <v>563.07%±103.54%</v>
      </c>
      <c r="AL76" s="6" t="str">
        <f>ROUND(AVERAGE(AL66:AL75),3)&amp; "±" &amp;ROUND(_xlfn.STDEV.S(AL66:AL75),2)</f>
        <v>115.056±18.96</v>
      </c>
      <c r="AM76" s="6">
        <f>AVERAGE(AM66:AM75)</f>
        <v>1.202</v>
      </c>
    </row>
    <row r="77" spans="1:39" ht="18" x14ac:dyDescent="0.3">
      <c r="A77" s="1"/>
      <c r="B77" s="1"/>
      <c r="C77" s="1"/>
      <c r="D77" s="1"/>
      <c r="E77" s="1"/>
      <c r="F77" s="1"/>
      <c r="G77" s="7"/>
      <c r="I77" s="1"/>
      <c r="J77" s="1"/>
      <c r="K77" s="1"/>
      <c r="L77" s="1"/>
      <c r="M77" s="1"/>
      <c r="N77" s="1"/>
      <c r="O77" s="1"/>
    </row>
    <row r="78" spans="1:39" ht="18" x14ac:dyDescent="0.3">
      <c r="A78" s="30" t="s">
        <v>10</v>
      </c>
      <c r="B78" s="30"/>
      <c r="C78" s="30"/>
      <c r="D78" s="30"/>
      <c r="E78" s="30"/>
      <c r="F78" s="30"/>
      <c r="G78" s="30"/>
      <c r="I78" s="24" t="s">
        <v>16</v>
      </c>
      <c r="J78" s="24"/>
      <c r="K78" s="24"/>
      <c r="L78" s="24"/>
      <c r="M78" s="24"/>
      <c r="N78" s="24"/>
      <c r="O78" s="24"/>
      <c r="Y78" s="16" t="s">
        <v>26</v>
      </c>
      <c r="Z78" s="16"/>
      <c r="AA78" s="16"/>
      <c r="AB78" s="16"/>
      <c r="AC78" s="16"/>
      <c r="AD78" s="16"/>
      <c r="AE78" s="16"/>
      <c r="AG78" s="16" t="s">
        <v>34</v>
      </c>
      <c r="AH78" s="16"/>
      <c r="AI78" s="16"/>
      <c r="AJ78" s="16"/>
      <c r="AK78" s="16"/>
      <c r="AL78" s="16"/>
      <c r="AM78" s="16"/>
    </row>
    <row r="79" spans="1:39" ht="18" x14ac:dyDescent="0.3">
      <c r="A79" s="2" t="s">
        <v>2</v>
      </c>
      <c r="B79" s="2" t="s">
        <v>3</v>
      </c>
      <c r="C79" s="2" t="s">
        <v>4</v>
      </c>
      <c r="D79" s="2" t="s">
        <v>5</v>
      </c>
      <c r="E79" s="2" t="s">
        <v>19</v>
      </c>
      <c r="F79" s="2" t="s">
        <v>20</v>
      </c>
      <c r="G79" s="2" t="s">
        <v>6</v>
      </c>
      <c r="I79" s="2" t="s">
        <v>2</v>
      </c>
      <c r="J79" s="2" t="s">
        <v>3</v>
      </c>
      <c r="K79" s="2" t="s">
        <v>4</v>
      </c>
      <c r="L79" s="2" t="s">
        <v>5</v>
      </c>
      <c r="M79" s="2" t="s">
        <v>19</v>
      </c>
      <c r="N79" s="2" t="s">
        <v>20</v>
      </c>
      <c r="O79" s="2" t="s">
        <v>6</v>
      </c>
      <c r="Y79" s="2" t="s">
        <v>2</v>
      </c>
      <c r="Z79" s="2" t="s">
        <v>3</v>
      </c>
      <c r="AA79" s="2" t="s">
        <v>4</v>
      </c>
      <c r="AB79" s="2" t="s">
        <v>5</v>
      </c>
      <c r="AC79" s="2" t="s">
        <v>19</v>
      </c>
      <c r="AD79" s="2" t="s">
        <v>20</v>
      </c>
      <c r="AE79" s="2" t="s">
        <v>6</v>
      </c>
      <c r="AG79" s="2" t="s">
        <v>2</v>
      </c>
      <c r="AH79" s="2" t="s">
        <v>3</v>
      </c>
      <c r="AI79" s="2" t="s">
        <v>4</v>
      </c>
      <c r="AJ79" s="2" t="s">
        <v>5</v>
      </c>
      <c r="AK79" s="2" t="s">
        <v>19</v>
      </c>
      <c r="AL79" s="2" t="s">
        <v>20</v>
      </c>
      <c r="AM79" s="2" t="s">
        <v>6</v>
      </c>
    </row>
    <row r="80" spans="1:39" ht="18" x14ac:dyDescent="0.3">
      <c r="A80" s="3">
        <v>1</v>
      </c>
      <c r="B80" s="3">
        <v>21.15</v>
      </c>
      <c r="C80" s="3">
        <v>20</v>
      </c>
      <c r="D80" s="4">
        <f t="shared" ref="D80:D89" si="78">ABS(B80-C80)</f>
        <v>1.1499999999999986</v>
      </c>
      <c r="E80" s="9">
        <f t="shared" ref="E80:E89" si="79">ABS(B80-C80)/C80</f>
        <v>5.7499999999999926E-2</v>
      </c>
      <c r="F80" s="11">
        <f t="shared" ref="F80:F89" si="80">B80-C80</f>
        <v>1.1499999999999986</v>
      </c>
      <c r="G80" s="3">
        <v>1.02</v>
      </c>
      <c r="I80" s="3">
        <v>1</v>
      </c>
      <c r="J80" s="3">
        <v>60.56</v>
      </c>
      <c r="K80" s="3">
        <v>20</v>
      </c>
      <c r="L80" s="4">
        <f>ABS(J80-K80)</f>
        <v>40.56</v>
      </c>
      <c r="M80" s="9">
        <f t="shared" ref="M80:M89" si="81">ABS(J80-K80)/K80</f>
        <v>2.028</v>
      </c>
      <c r="N80" s="11">
        <f t="shared" ref="N80:N89" si="82">J80-K80</f>
        <v>40.56</v>
      </c>
      <c r="O80" s="3">
        <v>2.3199999999999998</v>
      </c>
      <c r="Y80" s="3">
        <v>1</v>
      </c>
      <c r="Z80" s="3">
        <v>18.440000000000001</v>
      </c>
      <c r="AA80" s="3">
        <v>165</v>
      </c>
      <c r="AB80" s="4">
        <f>ABS(Z80-AA80)</f>
        <v>146.56</v>
      </c>
      <c r="AC80" s="9">
        <f t="shared" ref="AC80:AC89" si="83">ABS(Z80-AA80)/AA80</f>
        <v>0.88824242424242428</v>
      </c>
      <c r="AD80" s="11">
        <f t="shared" ref="AD80:AD89" si="84">Z80-AA80</f>
        <v>-146.56</v>
      </c>
      <c r="AE80" s="5">
        <v>1.02</v>
      </c>
      <c r="AG80" s="3">
        <v>1</v>
      </c>
      <c r="AH80" s="3">
        <v>217.66</v>
      </c>
      <c r="AI80" s="3">
        <v>20</v>
      </c>
      <c r="AJ80" s="4">
        <f>ABS(AH80-AI80)</f>
        <v>197.66</v>
      </c>
      <c r="AK80" s="9">
        <f t="shared" ref="AK80:AK89" si="85">ABS(AH80-AI80)/AI80</f>
        <v>9.8829999999999991</v>
      </c>
      <c r="AL80" s="11">
        <f t="shared" ref="AL80:AL89" si="86">AH80-AI80</f>
        <v>197.66</v>
      </c>
      <c r="AM80" s="5">
        <v>1.28</v>
      </c>
    </row>
    <row r="81" spans="1:39" ht="18" x14ac:dyDescent="0.3">
      <c r="A81" s="3">
        <v>2</v>
      </c>
      <c r="B81" s="3">
        <v>23.59</v>
      </c>
      <c r="C81" s="3">
        <v>20</v>
      </c>
      <c r="D81" s="4">
        <f t="shared" si="78"/>
        <v>3.59</v>
      </c>
      <c r="E81" s="9">
        <f t="shared" si="79"/>
        <v>0.17949999999999999</v>
      </c>
      <c r="F81" s="11">
        <f t="shared" si="80"/>
        <v>3.59</v>
      </c>
      <c r="G81" s="3">
        <v>1.03</v>
      </c>
      <c r="I81" s="3">
        <v>2</v>
      </c>
      <c r="J81" s="3">
        <v>62.55</v>
      </c>
      <c r="K81" s="3">
        <v>20</v>
      </c>
      <c r="L81" s="4">
        <f t="shared" ref="L81:L89" si="87">ABS(J81-K81)</f>
        <v>42.55</v>
      </c>
      <c r="M81" s="9">
        <f t="shared" si="81"/>
        <v>2.1274999999999999</v>
      </c>
      <c r="N81" s="11">
        <f t="shared" si="82"/>
        <v>42.55</v>
      </c>
      <c r="O81" s="3">
        <v>2.77</v>
      </c>
      <c r="Y81" s="3">
        <v>2</v>
      </c>
      <c r="Z81" s="3">
        <v>19.61</v>
      </c>
      <c r="AA81" s="3">
        <v>158</v>
      </c>
      <c r="AB81" s="4">
        <f t="shared" ref="AB81:AB89" si="88">ABS(Z81-AA81)</f>
        <v>138.38999999999999</v>
      </c>
      <c r="AC81" s="9">
        <f t="shared" si="83"/>
        <v>0.87588607594936696</v>
      </c>
      <c r="AD81" s="11">
        <f t="shared" si="84"/>
        <v>-138.38999999999999</v>
      </c>
      <c r="AE81" s="5">
        <v>1.02</v>
      </c>
      <c r="AG81" s="3">
        <v>2</v>
      </c>
      <c r="AH81" s="3">
        <v>176.69</v>
      </c>
      <c r="AI81" s="3">
        <v>21</v>
      </c>
      <c r="AJ81" s="4">
        <f t="shared" ref="AJ81:AJ89" si="89">ABS(AH81-AI81)</f>
        <v>155.69</v>
      </c>
      <c r="AK81" s="9">
        <f t="shared" si="85"/>
        <v>7.4138095238095234</v>
      </c>
      <c r="AL81" s="11">
        <f t="shared" si="86"/>
        <v>155.69</v>
      </c>
      <c r="AM81" s="5">
        <v>1.67</v>
      </c>
    </row>
    <row r="82" spans="1:39" ht="18" x14ac:dyDescent="0.3">
      <c r="A82" s="3">
        <v>3</v>
      </c>
      <c r="B82" s="3">
        <v>18.79</v>
      </c>
      <c r="C82" s="3">
        <v>20</v>
      </c>
      <c r="D82" s="4">
        <f t="shared" si="78"/>
        <v>1.2100000000000009</v>
      </c>
      <c r="E82" s="9">
        <f t="shared" si="79"/>
        <v>6.050000000000004E-2</v>
      </c>
      <c r="F82" s="11">
        <f t="shared" si="80"/>
        <v>-1.2100000000000009</v>
      </c>
      <c r="G82" s="3">
        <v>1.02</v>
      </c>
      <c r="I82" s="3">
        <v>3</v>
      </c>
      <c r="J82" s="3">
        <v>52.18</v>
      </c>
      <c r="K82" s="3">
        <v>20</v>
      </c>
      <c r="L82" s="4">
        <f t="shared" si="87"/>
        <v>32.18</v>
      </c>
      <c r="M82" s="9">
        <f t="shared" si="81"/>
        <v>1.609</v>
      </c>
      <c r="N82" s="11">
        <f t="shared" si="82"/>
        <v>32.18</v>
      </c>
      <c r="O82" s="3">
        <v>2.7</v>
      </c>
      <c r="Y82" s="3">
        <v>3</v>
      </c>
      <c r="Z82" s="3">
        <v>17.12</v>
      </c>
      <c r="AA82" s="3">
        <v>174</v>
      </c>
      <c r="AB82" s="4">
        <f t="shared" si="88"/>
        <v>156.88</v>
      </c>
      <c r="AC82" s="9">
        <f t="shared" si="83"/>
        <v>0.90160919540229878</v>
      </c>
      <c r="AD82" s="11">
        <f t="shared" si="84"/>
        <v>-156.88</v>
      </c>
      <c r="AE82" s="5">
        <v>1.01</v>
      </c>
      <c r="AG82" s="3">
        <v>3</v>
      </c>
      <c r="AH82" s="3">
        <v>190.16</v>
      </c>
      <c r="AI82" s="3">
        <v>21</v>
      </c>
      <c r="AJ82" s="4">
        <f t="shared" si="89"/>
        <v>169.16</v>
      </c>
      <c r="AK82" s="9">
        <f t="shared" si="85"/>
        <v>8.0552380952380958</v>
      </c>
      <c r="AL82" s="11">
        <f t="shared" si="86"/>
        <v>169.16</v>
      </c>
      <c r="AM82" s="5">
        <v>1.5</v>
      </c>
    </row>
    <row r="83" spans="1:39" ht="18" x14ac:dyDescent="0.3">
      <c r="A83" s="3">
        <v>4</v>
      </c>
      <c r="B83" s="3">
        <v>19.149999999999999</v>
      </c>
      <c r="C83" s="3">
        <v>20</v>
      </c>
      <c r="D83" s="4">
        <f t="shared" si="78"/>
        <v>0.85000000000000142</v>
      </c>
      <c r="E83" s="9">
        <f t="shared" si="79"/>
        <v>4.2500000000000072E-2</v>
      </c>
      <c r="F83" s="11">
        <f t="shared" si="80"/>
        <v>-0.85000000000000142</v>
      </c>
      <c r="G83" s="3">
        <v>1.02</v>
      </c>
      <c r="I83" s="3">
        <v>4</v>
      </c>
      <c r="J83" s="3">
        <v>57.89</v>
      </c>
      <c r="K83" s="3">
        <v>20</v>
      </c>
      <c r="L83" s="4">
        <f t="shared" si="87"/>
        <v>37.89</v>
      </c>
      <c r="M83" s="9">
        <f t="shared" si="81"/>
        <v>1.8945000000000001</v>
      </c>
      <c r="N83" s="11">
        <f t="shared" si="82"/>
        <v>37.89</v>
      </c>
      <c r="O83" s="3">
        <v>2.36</v>
      </c>
      <c r="Y83" s="3">
        <v>4</v>
      </c>
      <c r="Z83" s="5">
        <v>16.84</v>
      </c>
      <c r="AA83" s="3">
        <v>163</v>
      </c>
      <c r="AB83" s="4">
        <f t="shared" si="88"/>
        <v>146.16</v>
      </c>
      <c r="AC83" s="9">
        <f t="shared" si="83"/>
        <v>0.89668711656441713</v>
      </c>
      <c r="AD83" s="11">
        <f t="shared" si="84"/>
        <v>-146.16</v>
      </c>
      <c r="AE83" s="5">
        <v>1.02</v>
      </c>
      <c r="AG83" s="3">
        <v>4</v>
      </c>
      <c r="AH83" s="3">
        <v>192.73</v>
      </c>
      <c r="AI83" s="3">
        <v>19</v>
      </c>
      <c r="AJ83" s="4">
        <f t="shared" si="89"/>
        <v>173.73</v>
      </c>
      <c r="AK83" s="9">
        <f t="shared" si="85"/>
        <v>9.143684210526315</v>
      </c>
      <c r="AL83" s="11">
        <f t="shared" si="86"/>
        <v>173.73</v>
      </c>
      <c r="AM83" s="5">
        <v>1.48</v>
      </c>
    </row>
    <row r="84" spans="1:39" ht="18" x14ac:dyDescent="0.3">
      <c r="A84" s="3">
        <v>5</v>
      </c>
      <c r="B84" s="3">
        <v>20.37</v>
      </c>
      <c r="C84" s="3">
        <v>20</v>
      </c>
      <c r="D84" s="4">
        <f t="shared" si="78"/>
        <v>0.37000000000000099</v>
      </c>
      <c r="E84" s="9">
        <f t="shared" si="79"/>
        <v>1.8500000000000051E-2</v>
      </c>
      <c r="F84" s="11">
        <f t="shared" si="80"/>
        <v>0.37000000000000099</v>
      </c>
      <c r="G84" s="3">
        <v>1.02</v>
      </c>
      <c r="I84" s="3">
        <v>5</v>
      </c>
      <c r="J84" s="3">
        <v>53.27</v>
      </c>
      <c r="K84" s="3">
        <v>20</v>
      </c>
      <c r="L84" s="4">
        <f t="shared" si="87"/>
        <v>33.270000000000003</v>
      </c>
      <c r="M84" s="9">
        <f t="shared" si="81"/>
        <v>1.6635000000000002</v>
      </c>
      <c r="N84" s="11">
        <f t="shared" si="82"/>
        <v>33.270000000000003</v>
      </c>
      <c r="O84" s="3">
        <v>2.57</v>
      </c>
      <c r="Y84" s="3">
        <v>5</v>
      </c>
      <c r="Z84" s="3">
        <v>18.329999999999998</v>
      </c>
      <c r="AA84" s="3">
        <v>157</v>
      </c>
      <c r="AB84" s="4">
        <f t="shared" si="88"/>
        <v>138.67000000000002</v>
      </c>
      <c r="AC84" s="9">
        <f t="shared" si="83"/>
        <v>0.88324840764331225</v>
      </c>
      <c r="AD84" s="11">
        <f t="shared" si="84"/>
        <v>-138.67000000000002</v>
      </c>
      <c r="AE84" s="5">
        <v>1.01</v>
      </c>
      <c r="AG84" s="3">
        <v>5</v>
      </c>
      <c r="AH84" s="3">
        <v>160.57</v>
      </c>
      <c r="AI84" s="3">
        <v>20</v>
      </c>
      <c r="AJ84" s="4">
        <f t="shared" si="89"/>
        <v>140.57</v>
      </c>
      <c r="AK84" s="9">
        <f t="shared" si="85"/>
        <v>7.0284999999999993</v>
      </c>
      <c r="AL84" s="11">
        <f t="shared" si="86"/>
        <v>140.57</v>
      </c>
      <c r="AM84" s="5">
        <v>1.46</v>
      </c>
    </row>
    <row r="85" spans="1:39" ht="18" x14ac:dyDescent="0.3">
      <c r="A85" s="3">
        <v>6</v>
      </c>
      <c r="B85" s="3">
        <v>12.01</v>
      </c>
      <c r="C85" s="3">
        <v>20</v>
      </c>
      <c r="D85" s="4">
        <f t="shared" si="78"/>
        <v>7.99</v>
      </c>
      <c r="E85" s="9">
        <f t="shared" si="79"/>
        <v>0.39950000000000002</v>
      </c>
      <c r="F85" s="11">
        <f t="shared" si="80"/>
        <v>-7.99</v>
      </c>
      <c r="G85" s="3">
        <v>1.01</v>
      </c>
      <c r="I85" s="3">
        <v>6</v>
      </c>
      <c r="J85" s="3">
        <v>37.770000000000003</v>
      </c>
      <c r="K85" s="3">
        <v>20</v>
      </c>
      <c r="L85" s="4">
        <f t="shared" si="87"/>
        <v>17.770000000000003</v>
      </c>
      <c r="M85" s="9">
        <f t="shared" si="81"/>
        <v>0.88850000000000018</v>
      </c>
      <c r="N85" s="11">
        <f t="shared" si="82"/>
        <v>17.770000000000003</v>
      </c>
      <c r="O85" s="3">
        <v>2.4300000000000002</v>
      </c>
      <c r="Y85" s="3">
        <v>6</v>
      </c>
      <c r="Z85" s="5">
        <v>18.899999999999999</v>
      </c>
      <c r="AA85" s="3">
        <v>172</v>
      </c>
      <c r="AB85" s="4">
        <f t="shared" si="88"/>
        <v>153.1</v>
      </c>
      <c r="AC85" s="9">
        <f t="shared" si="83"/>
        <v>0.89011627906976742</v>
      </c>
      <c r="AD85" s="11">
        <f t="shared" si="84"/>
        <v>-153.1</v>
      </c>
      <c r="AE85" s="5">
        <v>1.01</v>
      </c>
      <c r="AG85" s="3">
        <v>6</v>
      </c>
      <c r="AH85" s="3">
        <v>107.71</v>
      </c>
      <c r="AI85" s="3">
        <v>20</v>
      </c>
      <c r="AJ85" s="4">
        <f t="shared" si="89"/>
        <v>87.71</v>
      </c>
      <c r="AK85" s="9">
        <f t="shared" si="85"/>
        <v>4.3854999999999995</v>
      </c>
      <c r="AL85" s="11">
        <f t="shared" si="86"/>
        <v>87.71</v>
      </c>
      <c r="AM85" s="5">
        <v>1.88</v>
      </c>
    </row>
    <row r="86" spans="1:39" ht="18" x14ac:dyDescent="0.3">
      <c r="A86" s="3">
        <v>7</v>
      </c>
      <c r="B86" s="3">
        <v>17.71</v>
      </c>
      <c r="C86" s="3">
        <v>20</v>
      </c>
      <c r="D86" s="4">
        <f t="shared" si="78"/>
        <v>2.2899999999999991</v>
      </c>
      <c r="E86" s="9">
        <f t="shared" si="79"/>
        <v>0.11449999999999996</v>
      </c>
      <c r="F86" s="11">
        <f t="shared" si="80"/>
        <v>-2.2899999999999991</v>
      </c>
      <c r="G86" s="3">
        <v>1.02</v>
      </c>
      <c r="I86" s="3">
        <v>7</v>
      </c>
      <c r="J86" s="3">
        <v>52.87</v>
      </c>
      <c r="K86" s="3">
        <v>20</v>
      </c>
      <c r="L86" s="4">
        <f t="shared" si="87"/>
        <v>32.869999999999997</v>
      </c>
      <c r="M86" s="9">
        <f t="shared" si="81"/>
        <v>1.6435</v>
      </c>
      <c r="N86" s="11">
        <f t="shared" si="82"/>
        <v>32.869999999999997</v>
      </c>
      <c r="O86" s="3">
        <v>2.52</v>
      </c>
      <c r="Y86" s="3">
        <v>7</v>
      </c>
      <c r="Z86" s="5">
        <v>15.56</v>
      </c>
      <c r="AA86" s="3">
        <v>149</v>
      </c>
      <c r="AB86" s="4">
        <f t="shared" si="88"/>
        <v>133.44</v>
      </c>
      <c r="AC86" s="9">
        <f t="shared" si="83"/>
        <v>0.89557046979865773</v>
      </c>
      <c r="AD86" s="11">
        <f t="shared" si="84"/>
        <v>-133.44</v>
      </c>
      <c r="AE86" s="5">
        <v>1.01</v>
      </c>
      <c r="AG86" s="3">
        <v>7</v>
      </c>
      <c r="AH86" s="3">
        <v>120.47</v>
      </c>
      <c r="AI86" s="3">
        <v>21</v>
      </c>
      <c r="AJ86" s="4">
        <f t="shared" si="89"/>
        <v>99.47</v>
      </c>
      <c r="AK86" s="9">
        <f t="shared" si="85"/>
        <v>4.7366666666666664</v>
      </c>
      <c r="AL86" s="11">
        <f t="shared" si="86"/>
        <v>99.47</v>
      </c>
      <c r="AM86" s="5">
        <v>2.06</v>
      </c>
    </row>
    <row r="87" spans="1:39" ht="18" x14ac:dyDescent="0.3">
      <c r="A87" s="3">
        <v>8</v>
      </c>
      <c r="B87" s="3">
        <v>27.37</v>
      </c>
      <c r="C87" s="3">
        <v>19</v>
      </c>
      <c r="D87" s="4">
        <f t="shared" si="78"/>
        <v>8.370000000000001</v>
      </c>
      <c r="E87" s="9">
        <f t="shared" si="79"/>
        <v>0.44052631578947371</v>
      </c>
      <c r="F87" s="11">
        <f t="shared" si="80"/>
        <v>8.370000000000001</v>
      </c>
      <c r="G87" s="3">
        <v>1.02</v>
      </c>
      <c r="I87" s="3">
        <v>8</v>
      </c>
      <c r="J87" s="3">
        <v>60.73</v>
      </c>
      <c r="K87" s="3">
        <v>19</v>
      </c>
      <c r="L87" s="4">
        <f t="shared" si="87"/>
        <v>41.73</v>
      </c>
      <c r="M87" s="9">
        <f t="shared" si="81"/>
        <v>2.196315789473684</v>
      </c>
      <c r="N87" s="11">
        <f t="shared" si="82"/>
        <v>41.73</v>
      </c>
      <c r="O87" s="3">
        <v>2.5499999999999998</v>
      </c>
      <c r="Y87" s="3">
        <v>8</v>
      </c>
      <c r="Z87" s="3">
        <v>18.16</v>
      </c>
      <c r="AA87" s="3">
        <v>166</v>
      </c>
      <c r="AB87" s="4">
        <f t="shared" si="88"/>
        <v>147.84</v>
      </c>
      <c r="AC87" s="9">
        <f t="shared" si="83"/>
        <v>0.89060240963855419</v>
      </c>
      <c r="AD87" s="11">
        <f t="shared" si="84"/>
        <v>-147.84</v>
      </c>
      <c r="AE87" s="5">
        <v>1.02</v>
      </c>
      <c r="AG87" s="3">
        <v>8</v>
      </c>
      <c r="AH87" s="5">
        <v>124.7</v>
      </c>
      <c r="AI87" s="3">
        <v>21</v>
      </c>
      <c r="AJ87" s="4">
        <f t="shared" si="89"/>
        <v>103.7</v>
      </c>
      <c r="AK87" s="9">
        <f t="shared" si="85"/>
        <v>4.9380952380952383</v>
      </c>
      <c r="AL87" s="11">
        <f t="shared" si="86"/>
        <v>103.7</v>
      </c>
      <c r="AM87" s="5">
        <v>1.6</v>
      </c>
    </row>
    <row r="88" spans="1:39" ht="18" x14ac:dyDescent="0.3">
      <c r="A88" s="3">
        <v>9</v>
      </c>
      <c r="B88" s="3">
        <v>18.309999999999999</v>
      </c>
      <c r="C88" s="3">
        <v>19</v>
      </c>
      <c r="D88" s="4">
        <f t="shared" si="78"/>
        <v>0.69000000000000128</v>
      </c>
      <c r="E88" s="9">
        <f t="shared" si="79"/>
        <v>3.631578947368428E-2</v>
      </c>
      <c r="F88" s="11">
        <f t="shared" si="80"/>
        <v>-0.69000000000000128</v>
      </c>
      <c r="G88" s="3">
        <v>1.02</v>
      </c>
      <c r="I88" s="3">
        <v>9</v>
      </c>
      <c r="J88" s="5">
        <v>53.3</v>
      </c>
      <c r="K88" s="3">
        <v>19</v>
      </c>
      <c r="L88" s="4">
        <f t="shared" si="87"/>
        <v>34.299999999999997</v>
      </c>
      <c r="M88" s="9">
        <f t="shared" si="81"/>
        <v>1.8052631578947367</v>
      </c>
      <c r="N88" s="11">
        <f t="shared" si="82"/>
        <v>34.299999999999997</v>
      </c>
      <c r="O88" s="3">
        <v>2.4300000000000002</v>
      </c>
      <c r="Y88" s="3">
        <v>9</v>
      </c>
      <c r="Z88" s="3">
        <v>19.190000000000001</v>
      </c>
      <c r="AA88" s="3">
        <v>174</v>
      </c>
      <c r="AB88" s="4">
        <f t="shared" si="88"/>
        <v>154.81</v>
      </c>
      <c r="AC88" s="9">
        <f t="shared" si="83"/>
        <v>0.88971264367816094</v>
      </c>
      <c r="AD88" s="11">
        <f t="shared" si="84"/>
        <v>-154.81</v>
      </c>
      <c r="AE88" s="5">
        <v>1.01</v>
      </c>
      <c r="AG88" s="3">
        <v>9</v>
      </c>
      <c r="AH88" s="3">
        <v>138.04</v>
      </c>
      <c r="AI88" s="3">
        <v>21</v>
      </c>
      <c r="AJ88" s="4">
        <f t="shared" si="89"/>
        <v>117.03999999999999</v>
      </c>
      <c r="AK88" s="9">
        <f t="shared" si="85"/>
        <v>5.5733333333333333</v>
      </c>
      <c r="AL88" s="11">
        <f t="shared" si="86"/>
        <v>117.03999999999999</v>
      </c>
      <c r="AM88" s="5">
        <v>2.0699999999999998</v>
      </c>
    </row>
    <row r="89" spans="1:39" ht="18" x14ac:dyDescent="0.3">
      <c r="A89" s="3">
        <v>10</v>
      </c>
      <c r="B89" s="5">
        <v>14.84</v>
      </c>
      <c r="C89" s="3">
        <v>20</v>
      </c>
      <c r="D89" s="4">
        <f t="shared" si="78"/>
        <v>5.16</v>
      </c>
      <c r="E89" s="9">
        <f t="shared" si="79"/>
        <v>0.25800000000000001</v>
      </c>
      <c r="F89" s="11">
        <f t="shared" si="80"/>
        <v>-5.16</v>
      </c>
      <c r="G89" s="3">
        <v>1.01</v>
      </c>
      <c r="I89" s="3">
        <v>10</v>
      </c>
      <c r="J89" s="5">
        <v>51.9</v>
      </c>
      <c r="K89" s="3">
        <v>20</v>
      </c>
      <c r="L89" s="4">
        <f t="shared" si="87"/>
        <v>31.9</v>
      </c>
      <c r="M89" s="9">
        <f t="shared" si="81"/>
        <v>1.595</v>
      </c>
      <c r="N89" s="11">
        <f t="shared" si="82"/>
        <v>31.9</v>
      </c>
      <c r="O89" s="3">
        <v>2.5099999999999998</v>
      </c>
      <c r="Y89" s="3">
        <v>10</v>
      </c>
      <c r="Z89" s="5">
        <v>15.96</v>
      </c>
      <c r="AA89" s="3">
        <v>172</v>
      </c>
      <c r="AB89" s="4">
        <f t="shared" si="88"/>
        <v>156.04</v>
      </c>
      <c r="AC89" s="9">
        <f t="shared" si="83"/>
        <v>0.90720930232558139</v>
      </c>
      <c r="AD89" s="11">
        <f t="shared" si="84"/>
        <v>-156.04</v>
      </c>
      <c r="AE89" s="5">
        <v>1.01</v>
      </c>
      <c r="AG89" s="3">
        <v>10</v>
      </c>
      <c r="AH89" s="5">
        <v>133.97999999999999</v>
      </c>
      <c r="AI89" s="3">
        <v>21</v>
      </c>
      <c r="AJ89" s="4">
        <f t="shared" si="89"/>
        <v>112.97999999999999</v>
      </c>
      <c r="AK89" s="9">
        <f t="shared" si="85"/>
        <v>5.38</v>
      </c>
      <c r="AL89" s="11">
        <f t="shared" si="86"/>
        <v>112.97999999999999</v>
      </c>
      <c r="AM89" s="5">
        <v>1.94</v>
      </c>
    </row>
    <row r="90" spans="1:39" ht="18" x14ac:dyDescent="0.3">
      <c r="A90" s="1"/>
      <c r="B90" s="1"/>
      <c r="C90" s="1"/>
      <c r="D90" s="6" t="str">
        <f>ROUND(AVERAGE(D80:D89),3)&amp; "±" &amp;ROUND(_xlfn.STDEV.S(D80:D89),2)</f>
        <v>3.167±3.03</v>
      </c>
      <c r="E90" s="10" t="str">
        <f>TEXT(AVERAGE(E80:E89),"0.00%") &amp; "±" &amp; TEXT(_xlfn.STDEV.S(E80:E89),"0.00%")</f>
        <v>16.07%±15.55%</v>
      </c>
      <c r="F90" s="6" t="str">
        <f>ROUND(AVERAGE(F80:F89),3)&amp; "±" &amp;ROUND(_xlfn.STDEV.S(F80:F89),2)</f>
        <v>-0.471±4.48</v>
      </c>
      <c r="G90" s="6">
        <f>AVERAGE(G80:G89)</f>
        <v>1.0189999999999997</v>
      </c>
      <c r="I90" s="1"/>
      <c r="J90" s="1"/>
      <c r="K90" s="1"/>
      <c r="L90" s="6" t="str">
        <f>ROUND(AVERAGE(L80:L89),3)&amp; "±" &amp;ROUND(_xlfn.STDEV.S(L80:L89),2)</f>
        <v>34.502±7.16</v>
      </c>
      <c r="M90" s="10" t="str">
        <f>TEXT(AVERAGE(M80:M89),"0.00%") &amp; "±" &amp; TEXT(_xlfn.STDEV.S(M80:M89),"0.00%")</f>
        <v>174.51%±37.23%</v>
      </c>
      <c r="N90" s="6" t="str">
        <f>ROUND(AVERAGE(N80:N89),3)&amp; "±" &amp;ROUND(_xlfn.STDEV.S(N80:N89),2)</f>
        <v>34.502±7.16</v>
      </c>
      <c r="O90" s="6">
        <f>AVERAGE(O80:O89)</f>
        <v>2.5160000000000005</v>
      </c>
      <c r="Y90" s="1"/>
      <c r="Z90" s="1"/>
      <c r="AA90" s="1"/>
      <c r="AB90" s="6" t="str">
        <f>ROUND(AVERAGE(AB80:AB89),3)&amp; "±" &amp;ROUND(_xlfn.STDEV.S(AB80:AB89),2)</f>
        <v>147.189±8.21</v>
      </c>
      <c r="AC90" s="10" t="str">
        <f>TEXT(AVERAGE(AC80:AC89),"0.00%") &amp; "±" &amp; TEXT(_xlfn.STDEV.S(AC80:AC89),"0.00%")</f>
        <v>89.19%±0.89%</v>
      </c>
      <c r="AD90" s="6" t="str">
        <f>ROUND(AVERAGE(AD80:AD89),3)&amp; "±" &amp;ROUND(_xlfn.STDEV.S(AD80:AD89),2)</f>
        <v>-147.189±8.21</v>
      </c>
      <c r="AE90" s="6">
        <f>AVERAGE(AE80:AE89)</f>
        <v>1.0139999999999998</v>
      </c>
      <c r="AG90" s="1"/>
      <c r="AH90" s="1"/>
      <c r="AI90" s="1"/>
      <c r="AJ90" s="6" t="str">
        <f>ROUND(AVERAGE(AJ80:AJ89),3)&amp; "±" &amp;ROUND(_xlfn.STDEV.S(AJ80:AJ89),2)</f>
        <v>135.771±37.02</v>
      </c>
      <c r="AK90" s="10" t="str">
        <f>TEXT(AVERAGE(AK80:AK89),"0.00%") &amp; "±" &amp; TEXT(_xlfn.STDEV.S(AK80:AK89),"0.00%")</f>
        <v>665.38%±193.97%</v>
      </c>
      <c r="AL90" s="6" t="str">
        <f>ROUND(AVERAGE(AL80:AL89),3)&amp; "±" &amp;ROUND(_xlfn.STDEV.S(AL80:AL89),2)</f>
        <v>135.771±37.02</v>
      </c>
      <c r="AM90" s="6">
        <f>AVERAGE(AM80:AM89)</f>
        <v>1.6940000000000002</v>
      </c>
    </row>
  </sheetData>
  <mergeCells count="74">
    <mergeCell ref="A50:G50"/>
    <mergeCell ref="A22:G22"/>
    <mergeCell ref="A64:G64"/>
    <mergeCell ref="A36:G36"/>
    <mergeCell ref="A78:G78"/>
    <mergeCell ref="Q4:V4"/>
    <mergeCell ref="Q8:W8"/>
    <mergeCell ref="Q22:W22"/>
    <mergeCell ref="A5:B5"/>
    <mergeCell ref="C5:D5"/>
    <mergeCell ref="E5:F5"/>
    <mergeCell ref="A6:B6"/>
    <mergeCell ref="C6:D6"/>
    <mergeCell ref="E6:F6"/>
    <mergeCell ref="A4:F4"/>
    <mergeCell ref="I4:O4"/>
    <mergeCell ref="I8:O8"/>
    <mergeCell ref="A8:G8"/>
    <mergeCell ref="I5:J5"/>
    <mergeCell ref="K5:L5"/>
    <mergeCell ref="M5:N5"/>
    <mergeCell ref="I78:O78"/>
    <mergeCell ref="M6:N6"/>
    <mergeCell ref="Q5:R5"/>
    <mergeCell ref="S5:T5"/>
    <mergeCell ref="U5:V5"/>
    <mergeCell ref="Q6:R6"/>
    <mergeCell ref="S6:T6"/>
    <mergeCell ref="U6:V6"/>
    <mergeCell ref="I6:J6"/>
    <mergeCell ref="K6:L6"/>
    <mergeCell ref="I50:O50"/>
    <mergeCell ref="I22:O22"/>
    <mergeCell ref="I64:O64"/>
    <mergeCell ref="I36:O36"/>
    <mergeCell ref="AO4:AT4"/>
    <mergeCell ref="AO5:AP5"/>
    <mergeCell ref="AQ5:AR5"/>
    <mergeCell ref="AS5:AT5"/>
    <mergeCell ref="AO6:AP6"/>
    <mergeCell ref="AQ6:AR6"/>
    <mergeCell ref="AS6:AT6"/>
    <mergeCell ref="Y22:AE22"/>
    <mergeCell ref="Y36:AE36"/>
    <mergeCell ref="AC6:AD6"/>
    <mergeCell ref="AG4:AL4"/>
    <mergeCell ref="AG5:AH5"/>
    <mergeCell ref="AI5:AJ5"/>
    <mergeCell ref="AK5:AL5"/>
    <mergeCell ref="AG6:AH6"/>
    <mergeCell ref="AI6:AJ6"/>
    <mergeCell ref="AK6:AL6"/>
    <mergeCell ref="Y4:AD4"/>
    <mergeCell ref="Y5:Z5"/>
    <mergeCell ref="AA5:AB5"/>
    <mergeCell ref="AC5:AD5"/>
    <mergeCell ref="Y6:Z6"/>
    <mergeCell ref="AA6:AB6"/>
    <mergeCell ref="A1:F1"/>
    <mergeCell ref="A2:F2"/>
    <mergeCell ref="Y78:AE78"/>
    <mergeCell ref="AO8:AU8"/>
    <mergeCell ref="AO22:AU22"/>
    <mergeCell ref="AG8:AM8"/>
    <mergeCell ref="AG22:AM22"/>
    <mergeCell ref="AG36:AM36"/>
    <mergeCell ref="AG50:AM50"/>
    <mergeCell ref="AG64:AM64"/>
    <mergeCell ref="AG78:AM78"/>
    <mergeCell ref="Y50:AE50"/>
    <mergeCell ref="Y64:AE64"/>
    <mergeCell ref="AO36:AU36"/>
    <mergeCell ref="AO50:AU50"/>
    <mergeCell ref="Y8:AE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2026-01-01T05:40:19Z</dcterms:created>
  <dcterms:modified xsi:type="dcterms:W3CDTF">2026-01-03T09:23:27Z</dcterms:modified>
</cp:coreProperties>
</file>