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바탕 화면/Repitition-Counting-with_Minimal-Labels/"/>
    </mc:Choice>
  </mc:AlternateContent>
  <xr:revisionPtr revIDLastSave="522" documentId="8_{EC2D05D1-6967-43E2-9318-874CC1A6128C}" xr6:coauthVersionLast="47" xr6:coauthVersionMax="47" xr10:uidLastSave="{18CBDF98-6A80-4EBF-82EB-BCBEDD27F8BD}"/>
  <bookViews>
    <workbookView xWindow="-20250" yWindow="-915" windowWidth="18930" windowHeight="16260" xr2:uid="{436F6609-A1A9-476F-92B6-42E4C5AA4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" i="1" l="1"/>
  <c r="Y6" i="1"/>
  <c r="Y7" i="1"/>
  <c r="Y8" i="1"/>
  <c r="Y9" i="1"/>
  <c r="Y4" i="1"/>
  <c r="V5" i="1"/>
  <c r="V6" i="1"/>
  <c r="V7" i="1"/>
  <c r="V8" i="1"/>
  <c r="V9" i="1"/>
  <c r="V4" i="1"/>
  <c r="S5" i="1"/>
  <c r="S6" i="1"/>
  <c r="S7" i="1"/>
  <c r="S8" i="1"/>
  <c r="S9" i="1"/>
  <c r="S4" i="1"/>
  <c r="P4" i="1"/>
  <c r="P5" i="1"/>
  <c r="P6" i="1"/>
  <c r="P7" i="1"/>
  <c r="P8" i="1"/>
  <c r="P9" i="1"/>
</calcChain>
</file>

<file path=xl/sharedStrings.xml><?xml version="1.0" encoding="utf-8"?>
<sst xmlns="http://schemas.openxmlformats.org/spreadsheetml/2006/main" count="93" uniqueCount="74">
  <si>
    <t xml:space="preserve">mode </t>
    <phoneticPr fontId="1" type="noConversion"/>
  </si>
  <si>
    <t xml:space="preserve">MAE_ours  </t>
    <phoneticPr fontId="1" type="noConversion"/>
  </si>
  <si>
    <t xml:space="preserve">MAE_baseA  </t>
    <phoneticPr fontId="1" type="noConversion"/>
  </si>
  <si>
    <t xml:space="preserve">orig </t>
    <phoneticPr fontId="1" type="noConversion"/>
  </si>
  <si>
    <t xml:space="preserve">block_shuffle </t>
    <phoneticPr fontId="1" type="noConversion"/>
  </si>
  <si>
    <t xml:space="preserve">win_shuffle </t>
    <phoneticPr fontId="1" type="noConversion"/>
  </si>
  <si>
    <t xml:space="preserve">phase_randomize </t>
    <phoneticPr fontId="1" type="noConversion"/>
  </si>
  <si>
    <t xml:space="preserve">reverse </t>
    <phoneticPr fontId="1" type="noConversion"/>
  </si>
  <si>
    <t>Trial-only</t>
    <phoneticPr fontId="1" type="noConversion"/>
  </si>
  <si>
    <t>Window-proxy(Ours)</t>
    <phoneticPr fontId="1" type="noConversion"/>
  </si>
  <si>
    <t>Activity</t>
    <phoneticPr fontId="1" type="noConversion"/>
  </si>
  <si>
    <t>Waist bends forward</t>
    <phoneticPr fontId="1" type="noConversion"/>
  </si>
  <si>
    <t>MAE</t>
    <phoneticPr fontId="1" type="noConversion"/>
  </si>
  <si>
    <t>MAPE</t>
    <phoneticPr fontId="1" type="noConversion"/>
  </si>
  <si>
    <t>Frontal elevation of arms</t>
    <phoneticPr fontId="1" type="noConversion"/>
  </si>
  <si>
    <t>Knees bending</t>
  </si>
  <si>
    <t>Knees bending</t>
    <phoneticPr fontId="1" type="noConversion"/>
  </si>
  <si>
    <t>Jogging</t>
    <phoneticPr fontId="1" type="noConversion"/>
  </si>
  <si>
    <t>Running</t>
    <phoneticPr fontId="1" type="noConversion"/>
  </si>
  <si>
    <t>Jumping front and back</t>
    <phoneticPr fontId="1" type="noConversion"/>
  </si>
  <si>
    <t>Not a Integrator</t>
    <phoneticPr fontId="1" type="noConversion"/>
  </si>
  <si>
    <t>Effect of windowing</t>
    <phoneticPr fontId="1" type="noConversion"/>
  </si>
  <si>
    <t>5.263 ± 3.17</t>
    <phoneticPr fontId="1" type="noConversion"/>
  </si>
  <si>
    <t>25.88% ± 15.26%</t>
    <phoneticPr fontId="1" type="noConversion"/>
  </si>
  <si>
    <t>2.324 ± 2.01</t>
    <phoneticPr fontId="1" type="noConversion"/>
  </si>
  <si>
    <t>11.71% ± 10.03%</t>
    <phoneticPr fontId="1" type="noConversion"/>
  </si>
  <si>
    <t>4.275 ± 3.18</t>
    <phoneticPr fontId="1" type="noConversion"/>
  </si>
  <si>
    <t>21.08% ± 16.08%</t>
    <phoneticPr fontId="1" type="noConversion"/>
  </si>
  <si>
    <t>10.422 ± 11.51</t>
    <phoneticPr fontId="1" type="noConversion"/>
  </si>
  <si>
    <t>6.64% ± 7.39%</t>
    <phoneticPr fontId="1" type="noConversion"/>
  </si>
  <si>
    <t>8.93 ± 4.54</t>
    <phoneticPr fontId="1" type="noConversion"/>
  </si>
  <si>
    <t>5.48% ± 3.03%</t>
    <phoneticPr fontId="1" type="noConversion"/>
  </si>
  <si>
    <t>1.103 ± 1.14</t>
    <phoneticPr fontId="1" type="noConversion"/>
  </si>
  <si>
    <t>5.45% ± 5.68%</t>
    <phoneticPr fontId="1" type="noConversion"/>
  </si>
  <si>
    <t>28.00% ± 28.74%</t>
  </si>
  <si>
    <t>14.55% ± 13.03%</t>
    <phoneticPr fontId="1" type="noConversion"/>
  </si>
  <si>
    <t>19.27% ± 12.39%</t>
    <phoneticPr fontId="1" type="noConversion"/>
  </si>
  <si>
    <t>5.94% ± 5.58%</t>
    <phoneticPr fontId="1" type="noConversion"/>
  </si>
  <si>
    <t>7.74% ± 3.93%</t>
    <phoneticPr fontId="1" type="noConversion"/>
  </si>
  <si>
    <t>7.01% ± 5.10%</t>
    <phoneticPr fontId="1" type="noConversion"/>
  </si>
  <si>
    <t>5.662 ± 5.75</t>
    <phoneticPr fontId="1" type="noConversion"/>
  </si>
  <si>
    <t>2.889 ± 2.61</t>
    <phoneticPr fontId="1" type="noConversion"/>
  </si>
  <si>
    <t>3.895 ± 2.41</t>
    <phoneticPr fontId="1" type="noConversion"/>
  </si>
  <si>
    <t>9.335 ± 8.68</t>
    <phoneticPr fontId="1" type="noConversion"/>
  </si>
  <si>
    <t>12.852 ± 6.58</t>
    <phoneticPr fontId="1" type="noConversion"/>
  </si>
  <si>
    <t>1.443 ± 1.06</t>
    <phoneticPr fontId="1" type="noConversion"/>
  </si>
  <si>
    <t>5.386 ± 6.21</t>
    <phoneticPr fontId="1" type="noConversion"/>
  </si>
  <si>
    <t xml:space="preserve">12.71% ± 13.06% </t>
    <phoneticPr fontId="1" type="noConversion"/>
  </si>
  <si>
    <t>6.013 ± 4.52</t>
    <phoneticPr fontId="1" type="noConversion"/>
  </si>
  <si>
    <t>13.75% ± 11.46%</t>
    <phoneticPr fontId="1" type="noConversion"/>
  </si>
  <si>
    <t>Noise</t>
    <phoneticPr fontId="1" type="noConversion"/>
  </si>
  <si>
    <t>Sampling</t>
    <phoneticPr fontId="1" type="noConversion"/>
  </si>
  <si>
    <t>Axis dropout</t>
    <phoneticPr fontId="1" type="noConversion"/>
  </si>
  <si>
    <t>Window Mismatch</t>
    <phoneticPr fontId="1" type="noConversion"/>
  </si>
  <si>
    <t>Jump front &amp; back</t>
    <phoneticPr fontId="1" type="noConversion"/>
  </si>
  <si>
    <t>default</t>
    <phoneticPr fontId="1" type="noConversion"/>
  </si>
  <si>
    <t>MAE mean</t>
    <phoneticPr fontId="1" type="noConversion"/>
  </si>
  <si>
    <t>MAE STD</t>
    <phoneticPr fontId="1" type="noConversion"/>
  </si>
  <si>
    <r>
      <t>robustness under changing conditions, MAE(mean±std) [</t>
    </r>
    <r>
      <rPr>
        <b/>
        <sz val="11"/>
        <color theme="1"/>
        <rFont val="Calibri"/>
        <family val="3"/>
        <charset val="161"/>
      </rPr>
      <t>Δ</t>
    </r>
    <r>
      <rPr>
        <b/>
        <sz val="11"/>
        <color theme="1"/>
        <rFont val="맑은 고딕"/>
        <family val="3"/>
        <charset val="129"/>
      </rPr>
      <t>MAE</t>
    </r>
    <r>
      <rPr>
        <b/>
        <sz val="11"/>
        <color theme="1"/>
        <rFont val="맑은 고딕"/>
        <family val="3"/>
        <charset val="129"/>
        <scheme val="minor"/>
      </rPr>
      <t xml:space="preserve">] </t>
    </r>
    <phoneticPr fontId="1" type="noConversion"/>
  </si>
  <si>
    <t>ΔMAE</t>
    <phoneticPr fontId="1" type="noConversion"/>
  </si>
  <si>
    <r>
      <rPr>
        <b/>
        <sz val="11"/>
        <color theme="1"/>
        <rFont val="Calibri"/>
        <family val="1"/>
        <charset val="161"/>
      </rPr>
      <t>Δ</t>
    </r>
    <r>
      <rPr>
        <b/>
        <sz val="11"/>
        <color theme="1"/>
        <rFont val="Noto Serif KR"/>
        <family val="1"/>
        <charset val="129"/>
      </rPr>
      <t>MAE</t>
    </r>
    <phoneticPr fontId="1" type="noConversion"/>
  </si>
  <si>
    <t>drop-recon</t>
    <phoneticPr fontId="1" type="noConversion"/>
  </si>
  <si>
    <t>drop-smooth</t>
    <phoneticPr fontId="1" type="noConversion"/>
  </si>
  <si>
    <t>drop-entropy</t>
    <phoneticPr fontId="1" type="noConversion"/>
  </si>
  <si>
    <t>drop-effK</t>
    <phoneticPr fontId="1" type="noConversion"/>
  </si>
  <si>
    <t>Rate-only</t>
    <phoneticPr fontId="1" type="noConversion"/>
  </si>
  <si>
    <t>+Recon</t>
    <phoneticPr fontId="1" type="noConversion"/>
  </si>
  <si>
    <t>+Ent</t>
    <phoneticPr fontId="1" type="noConversion"/>
  </si>
  <si>
    <t>+smooth</t>
    <phoneticPr fontId="1" type="noConversion"/>
  </si>
  <si>
    <t>+effK (Full)</t>
    <phoneticPr fontId="1" type="noConversion"/>
  </si>
  <si>
    <t>loss ablation (1) drop-one</t>
    <phoneticPr fontId="1" type="noConversion"/>
  </si>
  <si>
    <t>loss ablation (2) core-to-full</t>
    <phoneticPr fontId="1" type="noConversion"/>
  </si>
  <si>
    <t>k_hat</t>
    <phoneticPr fontId="1" type="noConversion"/>
  </si>
  <si>
    <t>entorpy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</si>
</sst>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Noto Serif KR"/>
      <family val="1"/>
      <charset val="129"/>
    </font>
    <font>
      <sz val="11"/>
      <color theme="1"/>
      <name val="Noto Serif KR"/>
      <family val="1"/>
      <charset val="129"/>
    </font>
    <font>
      <b/>
      <sz val="11"/>
      <color theme="1"/>
      <name val="Calibri"/>
      <family val="3"/>
      <charset val="161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theme="1"/>
      <name val="Calibri"/>
      <family val="1"/>
      <charset val="161"/>
    </font>
    <font>
      <b/>
      <sz val="11"/>
      <color theme="1"/>
      <name val="Noto Serif KR"/>
      <family val="1"/>
      <charset val="16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DE28-FDC8-453D-9567-A9DF59CE489A}">
  <dimension ref="A1:AK10"/>
  <sheetViews>
    <sheetView tabSelected="1" topLeftCell="Y1" zoomScaleNormal="100" workbookViewId="0">
      <selection activeCell="AG23" sqref="AG23"/>
    </sheetView>
  </sheetViews>
  <sheetFormatPr defaultRowHeight="16.5" x14ac:dyDescent="0.3"/>
  <cols>
    <col min="1" max="3" width="16.25" customWidth="1"/>
    <col min="5" max="5" width="24.375" customWidth="1"/>
    <col min="6" max="9" width="21.5" customWidth="1"/>
    <col min="11" max="11" width="23.625" customWidth="1"/>
    <col min="12" max="23" width="20.75" customWidth="1"/>
    <col min="24" max="25" width="16.875" customWidth="1"/>
    <col min="28" max="31" width="13.625" customWidth="1"/>
    <col min="32" max="32" width="1.375" customWidth="1"/>
    <col min="33" max="37" width="10.75" customWidth="1"/>
  </cols>
  <sheetData>
    <row r="1" spans="1:37" x14ac:dyDescent="0.3">
      <c r="A1" s="13" t="s">
        <v>20</v>
      </c>
      <c r="B1" s="13"/>
      <c r="C1" s="13"/>
      <c r="E1" s="13" t="s">
        <v>21</v>
      </c>
      <c r="F1" s="13"/>
      <c r="G1" s="13"/>
      <c r="H1" s="13"/>
      <c r="I1" s="13"/>
      <c r="K1" s="15" t="s">
        <v>58</v>
      </c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6"/>
      <c r="Y1" s="6"/>
      <c r="Z1" s="6"/>
      <c r="AA1" s="6"/>
      <c r="AB1" s="13" t="s">
        <v>70</v>
      </c>
      <c r="AC1" s="13"/>
      <c r="AD1" s="13"/>
      <c r="AE1" s="13"/>
      <c r="AG1" s="13" t="s">
        <v>71</v>
      </c>
      <c r="AH1" s="13"/>
      <c r="AI1" s="13"/>
      <c r="AJ1" s="13"/>
      <c r="AK1" s="13"/>
    </row>
    <row r="2" spans="1:37" ht="18" x14ac:dyDescent="0.3">
      <c r="A2" s="1" t="s">
        <v>0</v>
      </c>
      <c r="B2" s="1" t="s">
        <v>1</v>
      </c>
      <c r="C2" s="1" t="s">
        <v>2</v>
      </c>
      <c r="D2" s="2"/>
      <c r="E2" s="14" t="s">
        <v>10</v>
      </c>
      <c r="F2" s="14" t="s">
        <v>8</v>
      </c>
      <c r="G2" s="14"/>
      <c r="H2" s="14" t="s">
        <v>9</v>
      </c>
      <c r="I2" s="14"/>
      <c r="K2" s="14" t="s">
        <v>10</v>
      </c>
      <c r="L2" s="10" t="s">
        <v>55</v>
      </c>
      <c r="M2" s="11"/>
      <c r="N2" s="14" t="s">
        <v>50</v>
      </c>
      <c r="O2" s="14"/>
      <c r="P2" s="14"/>
      <c r="Q2" s="10" t="s">
        <v>51</v>
      </c>
      <c r="R2" s="11"/>
      <c r="S2" s="12"/>
      <c r="T2" s="10" t="s">
        <v>52</v>
      </c>
      <c r="U2" s="11"/>
      <c r="V2" s="12"/>
      <c r="W2" s="10" t="s">
        <v>53</v>
      </c>
      <c r="X2" s="11"/>
      <c r="Y2" s="12"/>
      <c r="AB2" s="1" t="s">
        <v>61</v>
      </c>
      <c r="AC2" s="1" t="s">
        <v>62</v>
      </c>
      <c r="AD2" s="1" t="s">
        <v>63</v>
      </c>
      <c r="AE2" s="1" t="s">
        <v>64</v>
      </c>
      <c r="AG2" s="1" t="s">
        <v>65</v>
      </c>
      <c r="AH2" s="18" t="s">
        <v>66</v>
      </c>
      <c r="AI2" s="18" t="s">
        <v>68</v>
      </c>
      <c r="AJ2" s="18" t="s">
        <v>67</v>
      </c>
      <c r="AK2" s="18" t="s">
        <v>69</v>
      </c>
    </row>
    <row r="3" spans="1:37" ht="18" x14ac:dyDescent="0.3">
      <c r="A3" s="3" t="s">
        <v>3</v>
      </c>
      <c r="B3" s="4">
        <v>5.3860000000000001</v>
      </c>
      <c r="C3" s="4">
        <v>3.2298559999999998</v>
      </c>
      <c r="D3" s="2"/>
      <c r="E3" s="14"/>
      <c r="F3" s="5" t="s">
        <v>12</v>
      </c>
      <c r="G3" s="5" t="s">
        <v>13</v>
      </c>
      <c r="H3" s="5" t="s">
        <v>12</v>
      </c>
      <c r="I3" s="5" t="s">
        <v>13</v>
      </c>
      <c r="K3" s="14"/>
      <c r="L3" s="5" t="s">
        <v>56</v>
      </c>
      <c r="M3" s="5" t="s">
        <v>57</v>
      </c>
      <c r="N3" s="5" t="s">
        <v>56</v>
      </c>
      <c r="O3" s="5" t="s">
        <v>57</v>
      </c>
      <c r="P3" s="5" t="s">
        <v>59</v>
      </c>
      <c r="Q3" s="5" t="s">
        <v>56</v>
      </c>
      <c r="R3" s="5" t="s">
        <v>57</v>
      </c>
      <c r="S3" s="5" t="s">
        <v>59</v>
      </c>
      <c r="T3" s="5" t="s">
        <v>56</v>
      </c>
      <c r="U3" s="5" t="s">
        <v>57</v>
      </c>
      <c r="V3" s="9" t="s">
        <v>60</v>
      </c>
      <c r="W3" s="5" t="s">
        <v>56</v>
      </c>
      <c r="X3" s="5" t="s">
        <v>57</v>
      </c>
      <c r="Y3" s="5" t="s">
        <v>59</v>
      </c>
      <c r="AA3" s="1" t="s">
        <v>12</v>
      </c>
      <c r="AB3" s="3">
        <v>5.4349999999999996</v>
      </c>
      <c r="AC3" s="3">
        <v>6.3769999999999998</v>
      </c>
      <c r="AD3" s="3">
        <v>6.0190000000000001</v>
      </c>
      <c r="AE3" s="3">
        <v>5.7549999999999999</v>
      </c>
      <c r="AG3" s="3">
        <v>5.9669999999999996</v>
      </c>
      <c r="AH3" s="3">
        <v>5.7649999999999997</v>
      </c>
      <c r="AI3" s="3">
        <v>5.5709999999999997</v>
      </c>
      <c r="AJ3" s="3">
        <v>5.7549999999999999</v>
      </c>
      <c r="AK3" s="3">
        <v>5.3860000000000001</v>
      </c>
    </row>
    <row r="4" spans="1:37" ht="18" x14ac:dyDescent="0.3">
      <c r="A4" s="3" t="s">
        <v>4</v>
      </c>
      <c r="B4" s="4">
        <v>6.2454280000000004</v>
      </c>
      <c r="C4" s="4">
        <v>3.2298559999999998</v>
      </c>
      <c r="D4" s="2"/>
      <c r="E4" s="3" t="s">
        <v>11</v>
      </c>
      <c r="F4" s="3" t="s">
        <v>40</v>
      </c>
      <c r="G4" s="3" t="s">
        <v>34</v>
      </c>
      <c r="H4" s="3" t="s">
        <v>22</v>
      </c>
      <c r="I4" s="3" t="s">
        <v>23</v>
      </c>
      <c r="K4" s="3" t="s">
        <v>11</v>
      </c>
      <c r="L4" s="3">
        <v>5.2629999999999999</v>
      </c>
      <c r="M4" s="3">
        <v>3.17</v>
      </c>
      <c r="N4" s="3">
        <v>5.359</v>
      </c>
      <c r="O4" s="3">
        <v>3.17</v>
      </c>
      <c r="P4" s="3">
        <f>N4-L4</f>
        <v>9.6000000000000085E-2</v>
      </c>
      <c r="Q4" s="3">
        <v>4.867</v>
      </c>
      <c r="R4" s="3">
        <v>2.59</v>
      </c>
      <c r="S4" s="3">
        <f>Q4-L4</f>
        <v>-0.39599999999999991</v>
      </c>
      <c r="T4" s="3">
        <v>4.4809999999999999</v>
      </c>
      <c r="U4" s="3">
        <v>2.78</v>
      </c>
      <c r="V4" s="3">
        <f>T4-L4</f>
        <v>-0.78200000000000003</v>
      </c>
      <c r="W4" s="3">
        <v>5.2389999999999999</v>
      </c>
      <c r="X4" s="3">
        <v>2.89</v>
      </c>
      <c r="Y4" s="3">
        <f>W4-L4</f>
        <v>-2.4000000000000021E-2</v>
      </c>
      <c r="AA4" s="1" t="s">
        <v>13</v>
      </c>
      <c r="AB4" s="3">
        <v>12.1</v>
      </c>
      <c r="AC4" s="17">
        <v>14.52</v>
      </c>
      <c r="AD4" s="17">
        <v>12.95</v>
      </c>
      <c r="AE4" s="17">
        <v>11.98</v>
      </c>
      <c r="AG4" s="17">
        <v>14.43</v>
      </c>
      <c r="AH4" s="17">
        <v>12</v>
      </c>
      <c r="AI4" s="17">
        <v>11.34</v>
      </c>
      <c r="AJ4" s="17">
        <v>11.98</v>
      </c>
      <c r="AK4" s="17">
        <v>12.71</v>
      </c>
    </row>
    <row r="5" spans="1:37" ht="18" x14ac:dyDescent="0.3">
      <c r="A5" s="3" t="s">
        <v>5</v>
      </c>
      <c r="B5" s="4">
        <v>7.9146809999999999</v>
      </c>
      <c r="C5" s="4">
        <v>3.2298559999999998</v>
      </c>
      <c r="D5" s="2"/>
      <c r="E5" s="3" t="s">
        <v>14</v>
      </c>
      <c r="F5" s="3" t="s">
        <v>41</v>
      </c>
      <c r="G5" s="3" t="s">
        <v>35</v>
      </c>
      <c r="H5" s="3" t="s">
        <v>24</v>
      </c>
      <c r="I5" s="3" t="s">
        <v>25</v>
      </c>
      <c r="K5" s="3" t="s">
        <v>14</v>
      </c>
      <c r="L5" s="3">
        <v>2.3239999999999998</v>
      </c>
      <c r="M5" s="3">
        <v>2.0099999999999998</v>
      </c>
      <c r="N5" s="3">
        <v>2.3940000000000001</v>
      </c>
      <c r="O5" s="3">
        <v>1.93</v>
      </c>
      <c r="P5" s="3">
        <f t="shared" ref="P5:P9" si="0">N5-L5</f>
        <v>7.0000000000000284E-2</v>
      </c>
      <c r="Q5" s="3">
        <v>2.552</v>
      </c>
      <c r="R5" s="3">
        <v>2.2799999999999998</v>
      </c>
      <c r="S5" s="3">
        <f t="shared" ref="S5:S9" si="1">Q5-L5</f>
        <v>0.2280000000000002</v>
      </c>
      <c r="T5" s="3">
        <v>5.3</v>
      </c>
      <c r="U5" s="3">
        <v>2.15</v>
      </c>
      <c r="V5" s="3">
        <f t="shared" ref="V5:V9" si="2">T5-L5</f>
        <v>2.976</v>
      </c>
      <c r="W5" s="3">
        <v>2.29</v>
      </c>
      <c r="X5" s="3">
        <v>1.88</v>
      </c>
      <c r="Y5" s="3">
        <f t="shared" ref="Y5:Y9" si="3">W5-L5</f>
        <v>-3.3999999999999808E-2</v>
      </c>
      <c r="AA5" s="1" t="s">
        <v>72</v>
      </c>
      <c r="AB5" s="3">
        <v>1.59</v>
      </c>
      <c r="AC5" s="17">
        <v>1.54</v>
      </c>
      <c r="AD5" s="17">
        <v>1.679</v>
      </c>
      <c r="AE5" s="17">
        <v>3.4049999999999998</v>
      </c>
      <c r="AG5" s="17">
        <v>2.6440000000000001</v>
      </c>
      <c r="AH5" s="17">
        <v>3.61</v>
      </c>
      <c r="AI5" s="17">
        <v>3.782</v>
      </c>
      <c r="AJ5" s="17">
        <v>3.4049999999999998</v>
      </c>
      <c r="AK5" s="17">
        <v>1.393</v>
      </c>
    </row>
    <row r="6" spans="1:37" ht="18" x14ac:dyDescent="0.3">
      <c r="A6" s="3" t="s">
        <v>6</v>
      </c>
      <c r="B6" s="4">
        <v>7.2818949999999996</v>
      </c>
      <c r="C6" s="4">
        <v>3.2298559999999998</v>
      </c>
      <c r="D6" s="2"/>
      <c r="E6" s="3" t="s">
        <v>16</v>
      </c>
      <c r="F6" s="3" t="s">
        <v>42</v>
      </c>
      <c r="G6" s="3" t="s">
        <v>36</v>
      </c>
      <c r="H6" s="3" t="s">
        <v>26</v>
      </c>
      <c r="I6" s="3" t="s">
        <v>27</v>
      </c>
      <c r="K6" s="3" t="s">
        <v>15</v>
      </c>
      <c r="L6" s="3">
        <v>4.2750000000000004</v>
      </c>
      <c r="M6" s="3">
        <v>3.18</v>
      </c>
      <c r="N6" s="3">
        <v>4.2530000000000001</v>
      </c>
      <c r="O6" s="3">
        <v>3.13</v>
      </c>
      <c r="P6" s="3">
        <f t="shared" si="0"/>
        <v>-2.2000000000000242E-2</v>
      </c>
      <c r="Q6" s="3">
        <v>3.972</v>
      </c>
      <c r="R6" s="3">
        <v>2.5099999999999998</v>
      </c>
      <c r="S6" s="3">
        <f t="shared" si="1"/>
        <v>-0.30300000000000038</v>
      </c>
      <c r="T6" s="3">
        <v>6.44</v>
      </c>
      <c r="U6" s="3">
        <v>2.21</v>
      </c>
      <c r="V6" s="3">
        <f t="shared" si="2"/>
        <v>2.165</v>
      </c>
      <c r="W6" s="3">
        <v>4.2439999999999998</v>
      </c>
      <c r="X6" s="3">
        <v>3.01</v>
      </c>
      <c r="Y6" s="3">
        <f t="shared" si="3"/>
        <v>-3.1000000000000583E-2</v>
      </c>
      <c r="AA6" s="1" t="s">
        <v>73</v>
      </c>
      <c r="AB6" s="3">
        <v>0.14580000000000001</v>
      </c>
      <c r="AC6" s="17">
        <v>0.39</v>
      </c>
      <c r="AD6" s="17">
        <v>0.49099999999999999</v>
      </c>
      <c r="AE6" s="17">
        <v>0.83530000000000004</v>
      </c>
      <c r="AG6" s="17">
        <v>0.54069999999999996</v>
      </c>
      <c r="AH6" s="17">
        <v>0.93979999999999997</v>
      </c>
      <c r="AI6" s="17">
        <v>0.96660000000000001</v>
      </c>
      <c r="AJ6" s="17">
        <v>0.83530000000000004</v>
      </c>
      <c r="AK6" s="3">
        <v>0.4128</v>
      </c>
    </row>
    <row r="7" spans="1:37" ht="18" x14ac:dyDescent="0.3">
      <c r="A7" s="3" t="s">
        <v>7</v>
      </c>
      <c r="B7" s="4">
        <v>5.9558049999999998</v>
      </c>
      <c r="C7" s="4">
        <v>3.2298559999999998</v>
      </c>
      <c r="D7" s="2"/>
      <c r="E7" s="3" t="s">
        <v>17</v>
      </c>
      <c r="F7" s="3" t="s">
        <v>43</v>
      </c>
      <c r="G7" s="3" t="s">
        <v>37</v>
      </c>
      <c r="H7" s="3" t="s">
        <v>28</v>
      </c>
      <c r="I7" s="3" t="s">
        <v>29</v>
      </c>
      <c r="K7" s="3" t="s">
        <v>17</v>
      </c>
      <c r="L7" s="3">
        <v>10.422000000000001</v>
      </c>
      <c r="M7" s="3">
        <v>11.51</v>
      </c>
      <c r="N7" s="3">
        <v>10.99</v>
      </c>
      <c r="O7" s="3">
        <v>11.84</v>
      </c>
      <c r="P7" s="3">
        <f t="shared" si="0"/>
        <v>0.56799999999999962</v>
      </c>
      <c r="Q7" s="3">
        <v>26.36</v>
      </c>
      <c r="R7" s="3">
        <v>10.91</v>
      </c>
      <c r="S7" s="3">
        <f t="shared" si="1"/>
        <v>15.937999999999999</v>
      </c>
      <c r="T7" s="7">
        <v>68.2</v>
      </c>
      <c r="U7" s="7">
        <v>10.130000000000001</v>
      </c>
      <c r="V7" s="7">
        <f t="shared" si="2"/>
        <v>57.778000000000006</v>
      </c>
      <c r="W7" s="3">
        <v>10.509</v>
      </c>
      <c r="X7" s="3">
        <v>10.42</v>
      </c>
      <c r="Y7" s="3">
        <f t="shared" si="3"/>
        <v>8.6999999999999744E-2</v>
      </c>
    </row>
    <row r="8" spans="1:37" ht="18" x14ac:dyDescent="0.3">
      <c r="A8" s="2"/>
      <c r="B8" s="2"/>
      <c r="C8" s="2"/>
      <c r="D8" s="2"/>
      <c r="E8" s="3" t="s">
        <v>18</v>
      </c>
      <c r="F8" s="3" t="s">
        <v>44</v>
      </c>
      <c r="G8" s="3" t="s">
        <v>38</v>
      </c>
      <c r="H8" s="3" t="s">
        <v>30</v>
      </c>
      <c r="I8" s="3" t="s">
        <v>31</v>
      </c>
      <c r="K8" s="3" t="s">
        <v>18</v>
      </c>
      <c r="L8" s="3">
        <v>8.93</v>
      </c>
      <c r="M8" s="3">
        <v>4.54</v>
      </c>
      <c r="N8" s="3">
        <v>15.374000000000001</v>
      </c>
      <c r="O8" s="3">
        <v>7.46</v>
      </c>
      <c r="P8" s="3">
        <f t="shared" si="0"/>
        <v>6.4440000000000008</v>
      </c>
      <c r="Q8" s="3">
        <v>18.623999999999999</v>
      </c>
      <c r="R8" s="3">
        <v>13.49</v>
      </c>
      <c r="S8" s="3">
        <f t="shared" si="1"/>
        <v>9.6939999999999991</v>
      </c>
      <c r="T8" s="7">
        <v>74.316999999999993</v>
      </c>
      <c r="U8" s="7">
        <v>11.85</v>
      </c>
      <c r="V8" s="7">
        <f t="shared" si="2"/>
        <v>65.387</v>
      </c>
      <c r="W8" s="3">
        <v>15.257999999999999</v>
      </c>
      <c r="X8" s="3">
        <v>7.62</v>
      </c>
      <c r="Y8" s="3">
        <f t="shared" si="3"/>
        <v>6.3279999999999994</v>
      </c>
    </row>
    <row r="9" spans="1:37" ht="18" x14ac:dyDescent="0.3">
      <c r="A9" s="2"/>
      <c r="B9" s="2"/>
      <c r="C9" s="2"/>
      <c r="D9" s="2"/>
      <c r="E9" s="3" t="s">
        <v>19</v>
      </c>
      <c r="F9" s="3" t="s">
        <v>45</v>
      </c>
      <c r="G9" s="3" t="s">
        <v>39</v>
      </c>
      <c r="H9" s="3" t="s">
        <v>32</v>
      </c>
      <c r="I9" s="3" t="s">
        <v>33</v>
      </c>
      <c r="K9" s="3" t="s">
        <v>54</v>
      </c>
      <c r="L9" s="3">
        <v>1.103</v>
      </c>
      <c r="M9" s="3">
        <v>1.1399999999999999</v>
      </c>
      <c r="N9" s="3">
        <v>1.2490000000000001</v>
      </c>
      <c r="O9" s="3">
        <v>1.03</v>
      </c>
      <c r="P9" s="3">
        <f t="shared" si="0"/>
        <v>0.14600000000000013</v>
      </c>
      <c r="Q9" s="3">
        <v>4.0599999999999996</v>
      </c>
      <c r="R9" s="3">
        <v>1.27</v>
      </c>
      <c r="S9" s="3">
        <f t="shared" si="1"/>
        <v>2.9569999999999999</v>
      </c>
      <c r="T9" s="7">
        <v>9.8659999999999997</v>
      </c>
      <c r="U9" s="7">
        <v>1.1000000000000001</v>
      </c>
      <c r="V9" s="7">
        <f t="shared" si="2"/>
        <v>8.7629999999999999</v>
      </c>
      <c r="W9" s="3">
        <v>1.1299999999999999</v>
      </c>
      <c r="X9" s="3">
        <v>1.06</v>
      </c>
      <c r="Y9" s="3">
        <f t="shared" si="3"/>
        <v>2.6999999999999913E-2</v>
      </c>
    </row>
    <row r="10" spans="1:37" x14ac:dyDescent="0.3">
      <c r="F10" s="8" t="s">
        <v>48</v>
      </c>
      <c r="G10" s="8" t="s">
        <v>49</v>
      </c>
      <c r="H10" s="8" t="s">
        <v>46</v>
      </c>
      <c r="I10" s="8" t="s">
        <v>47</v>
      </c>
    </row>
  </sheetData>
  <mergeCells count="14">
    <mergeCell ref="AB1:AE1"/>
    <mergeCell ref="AG1:AK1"/>
    <mergeCell ref="E2:E3"/>
    <mergeCell ref="F2:G2"/>
    <mergeCell ref="H2:I2"/>
    <mergeCell ref="A1:C1"/>
    <mergeCell ref="E1:I1"/>
    <mergeCell ref="W2:Y2"/>
    <mergeCell ref="T2:V2"/>
    <mergeCell ref="Q2:S2"/>
    <mergeCell ref="K2:K3"/>
    <mergeCell ref="K1:W1"/>
    <mergeCell ref="L2:M2"/>
    <mergeCell ref="N2:P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2026-01-04T00:58:42Z</dcterms:created>
  <dcterms:modified xsi:type="dcterms:W3CDTF">2026-01-05T04:40:56Z</dcterms:modified>
</cp:coreProperties>
</file>